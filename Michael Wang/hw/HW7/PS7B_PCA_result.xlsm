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0239\Desktop\"/>
    </mc:Choice>
  </mc:AlternateContent>
  <bookViews>
    <workbookView xWindow="-120" yWindow="-120" windowWidth="29040" windowHeight="15840" activeTab="1"/>
  </bookViews>
  <sheets>
    <sheet name="Eigencalcs" sheetId="6" r:id="rId1"/>
    <sheet name="PCA" sheetId="8" r:id="rId2"/>
  </sheets>
  <definedNames>
    <definedName name="anscount" hidden="1">2</definedName>
    <definedName name="AREA">PCA!$B$3:$K$254</definedName>
    <definedName name="Correlation">PCA!$AA$3:$AJ$12</definedName>
    <definedName name="DRP">PCA!$AM$41:$AV$41</definedName>
    <definedName name="EWP">PCA!$AM$30:$AV$30</definedName>
    <definedName name="EWS">PCA!$AM$5:$AV$5</definedName>
    <definedName name="ini">PCA!$BE$5</definedName>
    <definedName name="Lambda">#REF!</definedName>
    <definedName name="limcount" hidden="1">1</definedName>
    <definedName name="M">#REF!</definedName>
    <definedName name="RE">PCA!$AM$13:$AV$13</definedName>
    <definedName name="sencount" hidden="1">2</definedName>
    <definedName name="start">PCA!$AA$56</definedName>
    <definedName name="total">PCA!$AW$10</definedName>
    <definedName name="tranmat">#REF!</definedName>
    <definedName name="TransMat">#REF!</definedName>
    <definedName name="Vec">#REF!</definedName>
    <definedName name="VecTrans">#REF!</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4" i="8" l="1"/>
  <c r="BC3" i="8"/>
  <c r="BD3" i="8"/>
  <c r="BE3" i="8"/>
  <c r="BB3" i="8"/>
  <c r="BJ4" i="8"/>
  <c r="BI4" i="8"/>
  <c r="BH4" i="8"/>
  <c r="BH6" i="8"/>
  <c r="BI6" i="8"/>
  <c r="BJ6" i="8"/>
  <c r="BH7" i="8"/>
  <c r="BI7" i="8"/>
  <c r="BJ7" i="8"/>
  <c r="BH8" i="8"/>
  <c r="BI8" i="8"/>
  <c r="BJ8" i="8"/>
  <c r="BH9" i="8"/>
  <c r="BI9" i="8"/>
  <c r="BJ9" i="8"/>
  <c r="BH10" i="8"/>
  <c r="BI10" i="8"/>
  <c r="BJ10" i="8"/>
  <c r="BH11" i="8"/>
  <c r="BI11" i="8"/>
  <c r="BJ11" i="8"/>
  <c r="BH12" i="8"/>
  <c r="BI12" i="8"/>
  <c r="BJ12" i="8"/>
  <c r="BH13" i="8"/>
  <c r="BI13" i="8"/>
  <c r="BJ13" i="8"/>
  <c r="BH14" i="8"/>
  <c r="BI14" i="8"/>
  <c r="BJ14" i="8"/>
  <c r="BH15" i="8"/>
  <c r="BI15" i="8"/>
  <c r="BJ15" i="8"/>
  <c r="BH16" i="8"/>
  <c r="BI16" i="8"/>
  <c r="BJ16" i="8"/>
  <c r="BH17" i="8"/>
  <c r="BI17" i="8"/>
  <c r="BJ17" i="8"/>
  <c r="BH18" i="8"/>
  <c r="BI18" i="8"/>
  <c r="BJ18" i="8"/>
  <c r="BH19" i="8"/>
  <c r="BI19" i="8"/>
  <c r="BJ19" i="8"/>
  <c r="BH20" i="8"/>
  <c r="BI20" i="8"/>
  <c r="BJ20" i="8"/>
  <c r="BH21" i="8"/>
  <c r="BI21" i="8"/>
  <c r="BJ21" i="8"/>
  <c r="BH22" i="8"/>
  <c r="BI22" i="8"/>
  <c r="BJ22" i="8"/>
  <c r="BH23" i="8"/>
  <c r="BI23" i="8"/>
  <c r="BJ23" i="8"/>
  <c r="BH24" i="8"/>
  <c r="BI24" i="8"/>
  <c r="BJ24" i="8"/>
  <c r="BH25" i="8"/>
  <c r="BI25" i="8"/>
  <c r="BJ25" i="8"/>
  <c r="BH26" i="8"/>
  <c r="BI26" i="8"/>
  <c r="BJ26" i="8"/>
  <c r="BH27" i="8"/>
  <c r="BI27" i="8"/>
  <c r="BJ27" i="8"/>
  <c r="BH28" i="8"/>
  <c r="BI28" i="8"/>
  <c r="BJ28" i="8"/>
  <c r="BH29" i="8"/>
  <c r="BI29" i="8"/>
  <c r="BJ29" i="8"/>
  <c r="BH30" i="8"/>
  <c r="BI30" i="8"/>
  <c r="BJ30" i="8"/>
  <c r="BH31" i="8"/>
  <c r="BI31" i="8"/>
  <c r="BJ31" i="8"/>
  <c r="BH32" i="8"/>
  <c r="BI32" i="8"/>
  <c r="BJ32" i="8"/>
  <c r="BH33" i="8"/>
  <c r="BI33" i="8"/>
  <c r="BJ33" i="8"/>
  <c r="BH34" i="8"/>
  <c r="BI34" i="8"/>
  <c r="BJ34" i="8"/>
  <c r="BH35" i="8"/>
  <c r="BI35" i="8"/>
  <c r="BJ35" i="8"/>
  <c r="BH36" i="8"/>
  <c r="BI36" i="8"/>
  <c r="BJ36" i="8"/>
  <c r="BH37" i="8"/>
  <c r="BI37" i="8"/>
  <c r="BJ37" i="8"/>
  <c r="BH38" i="8"/>
  <c r="BI38" i="8"/>
  <c r="BJ38" i="8"/>
  <c r="BH39" i="8"/>
  <c r="BI39" i="8"/>
  <c r="BJ39" i="8"/>
  <c r="BH40" i="8"/>
  <c r="BI40" i="8"/>
  <c r="BJ40" i="8"/>
  <c r="BH41" i="8"/>
  <c r="BI41" i="8"/>
  <c r="BJ41" i="8"/>
  <c r="BH42" i="8"/>
  <c r="BI42" i="8"/>
  <c r="BJ42" i="8"/>
  <c r="BH43" i="8"/>
  <c r="BI43" i="8"/>
  <c r="BJ43" i="8"/>
  <c r="BH44" i="8"/>
  <c r="BI44" i="8"/>
  <c r="BJ44" i="8"/>
  <c r="BH45" i="8"/>
  <c r="BI45" i="8"/>
  <c r="BJ45" i="8"/>
  <c r="BH46" i="8"/>
  <c r="BI46" i="8"/>
  <c r="BJ46" i="8"/>
  <c r="BH47" i="8"/>
  <c r="BI47" i="8"/>
  <c r="BJ47" i="8"/>
  <c r="BH48" i="8"/>
  <c r="BI48" i="8"/>
  <c r="BJ48" i="8"/>
  <c r="BH49" i="8"/>
  <c r="BI49" i="8"/>
  <c r="BJ49" i="8"/>
  <c r="BH50" i="8"/>
  <c r="BI50" i="8"/>
  <c r="BJ50" i="8"/>
  <c r="BH51" i="8"/>
  <c r="BI51" i="8"/>
  <c r="BJ51" i="8"/>
  <c r="BH52" i="8"/>
  <c r="BI52" i="8"/>
  <c r="BJ52" i="8"/>
  <c r="BH53" i="8"/>
  <c r="BI53" i="8"/>
  <c r="BJ53" i="8"/>
  <c r="BH54" i="8"/>
  <c r="BI54" i="8"/>
  <c r="BJ54" i="8"/>
  <c r="BH55" i="8"/>
  <c r="BI55" i="8"/>
  <c r="BJ55" i="8"/>
  <c r="BH56" i="8"/>
  <c r="BI56" i="8"/>
  <c r="BJ56" i="8"/>
  <c r="BH57" i="8"/>
  <c r="BI57" i="8"/>
  <c r="BJ57" i="8"/>
  <c r="BH58" i="8"/>
  <c r="BI58" i="8"/>
  <c r="BJ58" i="8"/>
  <c r="BH59" i="8"/>
  <c r="BI59" i="8"/>
  <c r="BJ59" i="8"/>
  <c r="BH60" i="8"/>
  <c r="BI60" i="8"/>
  <c r="BJ60" i="8"/>
  <c r="BH61" i="8"/>
  <c r="BI61" i="8"/>
  <c r="BJ61" i="8"/>
  <c r="BH62" i="8"/>
  <c r="BI62" i="8"/>
  <c r="BJ62" i="8"/>
  <c r="BH63" i="8"/>
  <c r="BI63" i="8"/>
  <c r="BJ63" i="8"/>
  <c r="BH64" i="8"/>
  <c r="BI64" i="8"/>
  <c r="BJ64" i="8"/>
  <c r="BH65" i="8"/>
  <c r="BI65" i="8"/>
  <c r="BJ65" i="8"/>
  <c r="BH66" i="8"/>
  <c r="BI66" i="8"/>
  <c r="BJ66" i="8"/>
  <c r="BH67" i="8"/>
  <c r="BI67" i="8"/>
  <c r="BJ67" i="8"/>
  <c r="BH68" i="8"/>
  <c r="BI68" i="8"/>
  <c r="BJ68" i="8"/>
  <c r="BH69" i="8"/>
  <c r="BI69" i="8"/>
  <c r="BJ69" i="8"/>
  <c r="BH70" i="8"/>
  <c r="BI70" i="8"/>
  <c r="BJ70" i="8"/>
  <c r="BH71" i="8"/>
  <c r="BI71" i="8"/>
  <c r="BJ71" i="8"/>
  <c r="BH72" i="8"/>
  <c r="BI72" i="8"/>
  <c r="BJ72" i="8"/>
  <c r="BH73" i="8"/>
  <c r="BI73" i="8"/>
  <c r="BJ73" i="8"/>
  <c r="BH74" i="8"/>
  <c r="BI74" i="8"/>
  <c r="BJ74" i="8"/>
  <c r="BH75" i="8"/>
  <c r="BI75" i="8"/>
  <c r="BJ75" i="8"/>
  <c r="BH76" i="8"/>
  <c r="BI76" i="8"/>
  <c r="BJ76" i="8"/>
  <c r="BH77" i="8"/>
  <c r="BI77" i="8"/>
  <c r="BJ77" i="8"/>
  <c r="BH78" i="8"/>
  <c r="BI78" i="8"/>
  <c r="BJ78" i="8"/>
  <c r="BH79" i="8"/>
  <c r="BI79" i="8"/>
  <c r="BJ79" i="8"/>
  <c r="BH80" i="8"/>
  <c r="BI80" i="8"/>
  <c r="BJ80" i="8"/>
  <c r="BH81" i="8"/>
  <c r="BI81" i="8"/>
  <c r="BJ81" i="8"/>
  <c r="BH82" i="8"/>
  <c r="BI82" i="8"/>
  <c r="BJ82" i="8"/>
  <c r="BH83" i="8"/>
  <c r="BI83" i="8"/>
  <c r="BJ83" i="8"/>
  <c r="BH84" i="8"/>
  <c r="BI84" i="8"/>
  <c r="BJ84" i="8"/>
  <c r="BH85" i="8"/>
  <c r="BI85" i="8"/>
  <c r="BJ85" i="8"/>
  <c r="BH86" i="8"/>
  <c r="BI86" i="8"/>
  <c r="BJ86" i="8"/>
  <c r="BH87" i="8"/>
  <c r="BI87" i="8"/>
  <c r="BJ87" i="8"/>
  <c r="BH88" i="8"/>
  <c r="BI88" i="8"/>
  <c r="BJ88" i="8"/>
  <c r="BH89" i="8"/>
  <c r="BI89" i="8"/>
  <c r="BJ89" i="8"/>
  <c r="BH90" i="8"/>
  <c r="BI90" i="8"/>
  <c r="BJ90" i="8"/>
  <c r="BH91" i="8"/>
  <c r="BI91" i="8"/>
  <c r="BJ91" i="8"/>
  <c r="BH92" i="8"/>
  <c r="BI92" i="8"/>
  <c r="BJ92" i="8"/>
  <c r="BH93" i="8"/>
  <c r="BI93" i="8"/>
  <c r="BJ93" i="8"/>
  <c r="BH94" i="8"/>
  <c r="BI94" i="8"/>
  <c r="BJ94" i="8"/>
  <c r="BH95" i="8"/>
  <c r="BI95" i="8"/>
  <c r="BJ95" i="8"/>
  <c r="BH96" i="8"/>
  <c r="BI96" i="8"/>
  <c r="BJ96" i="8"/>
  <c r="BH97" i="8"/>
  <c r="BI97" i="8"/>
  <c r="BJ97" i="8"/>
  <c r="BH98" i="8"/>
  <c r="BI98" i="8"/>
  <c r="BJ98" i="8"/>
  <c r="BH99" i="8"/>
  <c r="BI99" i="8"/>
  <c r="BJ99" i="8"/>
  <c r="BH100" i="8"/>
  <c r="BI100" i="8"/>
  <c r="BJ100" i="8"/>
  <c r="BH101" i="8"/>
  <c r="BI101" i="8"/>
  <c r="BJ101" i="8"/>
  <c r="BH102" i="8"/>
  <c r="BI102" i="8"/>
  <c r="BJ102" i="8"/>
  <c r="BH103" i="8"/>
  <c r="BI103" i="8"/>
  <c r="BJ103" i="8"/>
  <c r="BH104" i="8"/>
  <c r="BI104" i="8"/>
  <c r="BJ104" i="8"/>
  <c r="BH105" i="8"/>
  <c r="BI105" i="8"/>
  <c r="BJ105" i="8"/>
  <c r="BH106" i="8"/>
  <c r="BI106" i="8"/>
  <c r="BJ106" i="8"/>
  <c r="BH107" i="8"/>
  <c r="BI107" i="8"/>
  <c r="BJ107" i="8"/>
  <c r="BH108" i="8"/>
  <c r="BI108" i="8"/>
  <c r="BJ108" i="8"/>
  <c r="BH109" i="8"/>
  <c r="BI109" i="8"/>
  <c r="BJ109" i="8"/>
  <c r="BH110" i="8"/>
  <c r="BI110" i="8"/>
  <c r="BJ110" i="8"/>
  <c r="BH111" i="8"/>
  <c r="BI111" i="8"/>
  <c r="BJ111" i="8"/>
  <c r="BH112" i="8"/>
  <c r="BI112" i="8"/>
  <c r="BJ112" i="8"/>
  <c r="BH113" i="8"/>
  <c r="BI113" i="8"/>
  <c r="BJ113" i="8"/>
  <c r="BH114" i="8"/>
  <c r="BI114" i="8"/>
  <c r="BJ114" i="8"/>
  <c r="BH115" i="8"/>
  <c r="BI115" i="8"/>
  <c r="BJ115" i="8"/>
  <c r="BH116" i="8"/>
  <c r="BI116" i="8"/>
  <c r="BJ116" i="8"/>
  <c r="BH117" i="8"/>
  <c r="BI117" i="8"/>
  <c r="BJ117" i="8"/>
  <c r="BH118" i="8"/>
  <c r="BI118" i="8"/>
  <c r="BJ118" i="8"/>
  <c r="BH119" i="8"/>
  <c r="BI119" i="8"/>
  <c r="BJ119" i="8"/>
  <c r="BH120" i="8"/>
  <c r="BI120" i="8"/>
  <c r="BJ120" i="8"/>
  <c r="BH121" i="8"/>
  <c r="BI121" i="8"/>
  <c r="BJ121" i="8"/>
  <c r="BH122" i="8"/>
  <c r="BI122" i="8"/>
  <c r="BJ122" i="8"/>
  <c r="BH123" i="8"/>
  <c r="BI123" i="8"/>
  <c r="BJ123" i="8"/>
  <c r="BH124" i="8"/>
  <c r="BI124" i="8"/>
  <c r="BJ124" i="8"/>
  <c r="BH125" i="8"/>
  <c r="BI125" i="8"/>
  <c r="BJ125" i="8"/>
  <c r="BH126" i="8"/>
  <c r="BI126" i="8"/>
  <c r="BJ126" i="8"/>
  <c r="BH127" i="8"/>
  <c r="BI127" i="8"/>
  <c r="BJ127" i="8"/>
  <c r="BH128" i="8"/>
  <c r="BI128" i="8"/>
  <c r="BJ128" i="8"/>
  <c r="BH129" i="8"/>
  <c r="BI129" i="8"/>
  <c r="BJ129" i="8"/>
  <c r="BH130" i="8"/>
  <c r="BI130" i="8"/>
  <c r="BJ130" i="8"/>
  <c r="BH131" i="8"/>
  <c r="BI131" i="8"/>
  <c r="BJ131" i="8"/>
  <c r="BH132" i="8"/>
  <c r="BI132" i="8"/>
  <c r="BJ132" i="8"/>
  <c r="BH133" i="8"/>
  <c r="BI133" i="8"/>
  <c r="BJ133" i="8"/>
  <c r="BH134" i="8"/>
  <c r="BI134" i="8"/>
  <c r="BJ134" i="8"/>
  <c r="BH135" i="8"/>
  <c r="BI135" i="8"/>
  <c r="BJ135" i="8"/>
  <c r="BH136" i="8"/>
  <c r="BI136" i="8"/>
  <c r="BJ136" i="8"/>
  <c r="BH137" i="8"/>
  <c r="BI137" i="8"/>
  <c r="BJ137" i="8"/>
  <c r="BH138" i="8"/>
  <c r="BI138" i="8"/>
  <c r="BJ138" i="8"/>
  <c r="BH139" i="8"/>
  <c r="BI139" i="8"/>
  <c r="BJ139" i="8"/>
  <c r="BH140" i="8"/>
  <c r="BI140" i="8"/>
  <c r="BJ140" i="8"/>
  <c r="BH141" i="8"/>
  <c r="BI141" i="8"/>
  <c r="BJ141" i="8"/>
  <c r="BH142" i="8"/>
  <c r="BI142" i="8"/>
  <c r="BJ142" i="8"/>
  <c r="BH143" i="8"/>
  <c r="BI143" i="8"/>
  <c r="BJ143" i="8"/>
  <c r="BH144" i="8"/>
  <c r="BI144" i="8"/>
  <c r="BJ144" i="8"/>
  <c r="BH145" i="8"/>
  <c r="BI145" i="8"/>
  <c r="BJ145" i="8"/>
  <c r="BH146" i="8"/>
  <c r="BI146" i="8"/>
  <c r="BJ146" i="8"/>
  <c r="BH147" i="8"/>
  <c r="BI147" i="8"/>
  <c r="BJ147" i="8"/>
  <c r="BH148" i="8"/>
  <c r="BI148" i="8"/>
  <c r="BJ148" i="8"/>
  <c r="BH149" i="8"/>
  <c r="BI149" i="8"/>
  <c r="BJ149" i="8"/>
  <c r="BH150" i="8"/>
  <c r="BI150" i="8"/>
  <c r="BJ150" i="8"/>
  <c r="BH151" i="8"/>
  <c r="BI151" i="8"/>
  <c r="BJ151" i="8"/>
  <c r="BH152" i="8"/>
  <c r="BI152" i="8"/>
  <c r="BJ152" i="8"/>
  <c r="BH153" i="8"/>
  <c r="BI153" i="8"/>
  <c r="BJ153" i="8"/>
  <c r="BH154" i="8"/>
  <c r="BI154" i="8"/>
  <c r="BJ154" i="8"/>
  <c r="BH155" i="8"/>
  <c r="BI155" i="8"/>
  <c r="BJ155" i="8"/>
  <c r="BH156" i="8"/>
  <c r="BI156" i="8"/>
  <c r="BJ156" i="8"/>
  <c r="BH157" i="8"/>
  <c r="BI157" i="8"/>
  <c r="BJ157" i="8"/>
  <c r="BH158" i="8"/>
  <c r="BI158" i="8"/>
  <c r="BJ158" i="8"/>
  <c r="BH159" i="8"/>
  <c r="BI159" i="8"/>
  <c r="BJ159" i="8"/>
  <c r="BH160" i="8"/>
  <c r="BI160" i="8"/>
  <c r="BJ160" i="8"/>
  <c r="BH161" i="8"/>
  <c r="BI161" i="8"/>
  <c r="BJ161" i="8"/>
  <c r="BH162" i="8"/>
  <c r="BI162" i="8"/>
  <c r="BJ162" i="8"/>
  <c r="BH163" i="8"/>
  <c r="BI163" i="8"/>
  <c r="BJ163" i="8"/>
  <c r="BH164" i="8"/>
  <c r="BI164" i="8"/>
  <c r="BJ164" i="8"/>
  <c r="BH165" i="8"/>
  <c r="BI165" i="8"/>
  <c r="BJ165" i="8"/>
  <c r="BH166" i="8"/>
  <c r="BI166" i="8"/>
  <c r="BJ166" i="8"/>
  <c r="BH167" i="8"/>
  <c r="BI167" i="8"/>
  <c r="BJ167" i="8"/>
  <c r="BH168" i="8"/>
  <c r="BI168" i="8"/>
  <c r="BJ168" i="8"/>
  <c r="BH169" i="8"/>
  <c r="BI169" i="8"/>
  <c r="BJ169" i="8"/>
  <c r="BH170" i="8"/>
  <c r="BI170" i="8"/>
  <c r="BJ170" i="8"/>
  <c r="BH171" i="8"/>
  <c r="BI171" i="8"/>
  <c r="BJ171" i="8"/>
  <c r="BH172" i="8"/>
  <c r="BI172" i="8"/>
  <c r="BJ172" i="8"/>
  <c r="BH173" i="8"/>
  <c r="BI173" i="8"/>
  <c r="BJ173" i="8"/>
  <c r="BH174" i="8"/>
  <c r="BI174" i="8"/>
  <c r="BJ174" i="8"/>
  <c r="BH175" i="8"/>
  <c r="BI175" i="8"/>
  <c r="BJ175" i="8"/>
  <c r="BH176" i="8"/>
  <c r="BI176" i="8"/>
  <c r="BJ176" i="8"/>
  <c r="BH177" i="8"/>
  <c r="BI177" i="8"/>
  <c r="BJ177" i="8"/>
  <c r="BH178" i="8"/>
  <c r="BI178" i="8"/>
  <c r="BJ178" i="8"/>
  <c r="BH179" i="8"/>
  <c r="BI179" i="8"/>
  <c r="BJ179" i="8"/>
  <c r="BH180" i="8"/>
  <c r="BI180" i="8"/>
  <c r="BJ180" i="8"/>
  <c r="BH181" i="8"/>
  <c r="BI181" i="8"/>
  <c r="BJ181" i="8"/>
  <c r="BH182" i="8"/>
  <c r="BI182" i="8"/>
  <c r="BJ182" i="8"/>
  <c r="BH183" i="8"/>
  <c r="BI183" i="8"/>
  <c r="BJ183" i="8"/>
  <c r="BH184" i="8"/>
  <c r="BI184" i="8"/>
  <c r="BJ184" i="8"/>
  <c r="BH185" i="8"/>
  <c r="BI185" i="8"/>
  <c r="BJ185" i="8"/>
  <c r="BH186" i="8"/>
  <c r="BI186" i="8"/>
  <c r="BJ186" i="8"/>
  <c r="BH187" i="8"/>
  <c r="BI187" i="8"/>
  <c r="BJ187" i="8"/>
  <c r="BH188" i="8"/>
  <c r="BI188" i="8"/>
  <c r="BJ188" i="8"/>
  <c r="BH189" i="8"/>
  <c r="BI189" i="8"/>
  <c r="BJ189" i="8"/>
  <c r="BH190" i="8"/>
  <c r="BI190" i="8"/>
  <c r="BJ190" i="8"/>
  <c r="BH191" i="8"/>
  <c r="BI191" i="8"/>
  <c r="BJ191" i="8"/>
  <c r="BH192" i="8"/>
  <c r="BI192" i="8"/>
  <c r="BJ192" i="8"/>
  <c r="BH193" i="8"/>
  <c r="BI193" i="8"/>
  <c r="BJ193" i="8"/>
  <c r="BH194" i="8"/>
  <c r="BI194" i="8"/>
  <c r="BJ194" i="8"/>
  <c r="BH195" i="8"/>
  <c r="BI195" i="8"/>
  <c r="BJ195" i="8"/>
  <c r="BH196" i="8"/>
  <c r="BI196" i="8"/>
  <c r="BJ196" i="8"/>
  <c r="BH197" i="8"/>
  <c r="BI197" i="8"/>
  <c r="BJ197" i="8"/>
  <c r="BH198" i="8"/>
  <c r="BI198" i="8"/>
  <c r="BJ198" i="8"/>
  <c r="BH199" i="8"/>
  <c r="BI199" i="8"/>
  <c r="BJ199" i="8"/>
  <c r="BH200" i="8"/>
  <c r="BI200" i="8"/>
  <c r="BJ200" i="8"/>
  <c r="BH201" i="8"/>
  <c r="BI201" i="8"/>
  <c r="BJ201" i="8"/>
  <c r="BH202" i="8"/>
  <c r="BI202" i="8"/>
  <c r="BJ202" i="8"/>
  <c r="BH203" i="8"/>
  <c r="BI203" i="8"/>
  <c r="BJ203" i="8"/>
  <c r="BH204" i="8"/>
  <c r="BI204" i="8"/>
  <c r="BJ204" i="8"/>
  <c r="BH205" i="8"/>
  <c r="BI205" i="8"/>
  <c r="BJ205" i="8"/>
  <c r="BH206" i="8"/>
  <c r="BI206" i="8"/>
  <c r="BJ206" i="8"/>
  <c r="BH207" i="8"/>
  <c r="BI207" i="8"/>
  <c r="BJ207" i="8"/>
  <c r="BH208" i="8"/>
  <c r="BI208" i="8"/>
  <c r="BJ208" i="8"/>
  <c r="BH209" i="8"/>
  <c r="BI209" i="8"/>
  <c r="BJ209" i="8"/>
  <c r="BH210" i="8"/>
  <c r="BI210" i="8"/>
  <c r="BJ210" i="8"/>
  <c r="BH211" i="8"/>
  <c r="BI211" i="8"/>
  <c r="BJ211" i="8"/>
  <c r="BH212" i="8"/>
  <c r="BI212" i="8"/>
  <c r="BJ212" i="8"/>
  <c r="BH213" i="8"/>
  <c r="BI213" i="8"/>
  <c r="BJ213" i="8"/>
  <c r="BH214" i="8"/>
  <c r="BI214" i="8"/>
  <c r="BJ214" i="8"/>
  <c r="BH215" i="8"/>
  <c r="BI215" i="8"/>
  <c r="BJ215" i="8"/>
  <c r="BH216" i="8"/>
  <c r="BI216" i="8"/>
  <c r="BJ216" i="8"/>
  <c r="BH217" i="8"/>
  <c r="BI217" i="8"/>
  <c r="BJ217" i="8"/>
  <c r="BH218" i="8"/>
  <c r="BI218" i="8"/>
  <c r="BJ218" i="8"/>
  <c r="BH219" i="8"/>
  <c r="BI219" i="8"/>
  <c r="BJ219" i="8"/>
  <c r="BH220" i="8"/>
  <c r="BI220" i="8"/>
  <c r="BJ220" i="8"/>
  <c r="BH221" i="8"/>
  <c r="BI221" i="8"/>
  <c r="BJ221" i="8"/>
  <c r="BH222" i="8"/>
  <c r="BI222" i="8"/>
  <c r="BJ222" i="8"/>
  <c r="BH223" i="8"/>
  <c r="BI223" i="8"/>
  <c r="BJ223" i="8"/>
  <c r="BH224" i="8"/>
  <c r="BI224" i="8"/>
  <c r="BJ224" i="8"/>
  <c r="BH225" i="8"/>
  <c r="BI225" i="8"/>
  <c r="BJ225" i="8"/>
  <c r="BH226" i="8"/>
  <c r="BI226" i="8"/>
  <c r="BJ226" i="8"/>
  <c r="BH227" i="8"/>
  <c r="BI227" i="8"/>
  <c r="BJ227" i="8"/>
  <c r="BH228" i="8"/>
  <c r="BI228" i="8"/>
  <c r="BJ228" i="8"/>
  <c r="BH229" i="8"/>
  <c r="BI229" i="8"/>
  <c r="BJ229" i="8"/>
  <c r="BH230" i="8"/>
  <c r="BI230" i="8"/>
  <c r="BJ230" i="8"/>
  <c r="BH231" i="8"/>
  <c r="BI231" i="8"/>
  <c r="BJ231" i="8"/>
  <c r="BH232" i="8"/>
  <c r="BI232" i="8"/>
  <c r="BJ232" i="8"/>
  <c r="BH233" i="8"/>
  <c r="BI233" i="8"/>
  <c r="BJ233" i="8"/>
  <c r="BH234" i="8"/>
  <c r="BI234" i="8"/>
  <c r="BJ234" i="8"/>
  <c r="BH235" i="8"/>
  <c r="BI235" i="8"/>
  <c r="BJ235" i="8"/>
  <c r="BH236" i="8"/>
  <c r="BI236" i="8"/>
  <c r="BJ236" i="8"/>
  <c r="BH237" i="8"/>
  <c r="BI237" i="8"/>
  <c r="BJ237" i="8"/>
  <c r="BH238" i="8"/>
  <c r="BI238" i="8"/>
  <c r="BJ238" i="8"/>
  <c r="BH239" i="8"/>
  <c r="BI239" i="8"/>
  <c r="BJ239" i="8"/>
  <c r="BH240" i="8"/>
  <c r="BI240" i="8"/>
  <c r="BJ240" i="8"/>
  <c r="BH241" i="8"/>
  <c r="BI241" i="8"/>
  <c r="BJ241" i="8"/>
  <c r="BH242" i="8"/>
  <c r="BI242" i="8"/>
  <c r="BJ242" i="8"/>
  <c r="BH243" i="8"/>
  <c r="BI243" i="8"/>
  <c r="BJ243" i="8"/>
  <c r="BH244" i="8"/>
  <c r="BI244" i="8"/>
  <c r="BJ244" i="8"/>
  <c r="BH245" i="8"/>
  <c r="BI245" i="8"/>
  <c r="BJ245" i="8"/>
  <c r="BH246" i="8"/>
  <c r="BI246" i="8"/>
  <c r="BJ246" i="8"/>
  <c r="BH247" i="8"/>
  <c r="BI247" i="8"/>
  <c r="BJ247" i="8"/>
  <c r="BH248" i="8"/>
  <c r="BI248" i="8"/>
  <c r="BJ248" i="8"/>
  <c r="BH249" i="8"/>
  <c r="BI249" i="8"/>
  <c r="BJ249" i="8"/>
  <c r="BH250" i="8"/>
  <c r="BI250" i="8"/>
  <c r="BJ250" i="8"/>
  <c r="BH251" i="8"/>
  <c r="BI251" i="8"/>
  <c r="BJ251" i="8"/>
  <c r="BH252" i="8"/>
  <c r="BI252" i="8"/>
  <c r="BJ252" i="8"/>
  <c r="BH253" i="8"/>
  <c r="BI253" i="8"/>
  <c r="BJ253" i="8"/>
  <c r="BH254" i="8"/>
  <c r="BI254" i="8"/>
  <c r="BJ254" i="8"/>
  <c r="BH255" i="8"/>
  <c r="BI255" i="8"/>
  <c r="BJ255" i="8"/>
  <c r="BH5" i="8"/>
  <c r="BI5" i="8"/>
  <c r="BJ5" i="8"/>
  <c r="BG6" i="8"/>
  <c r="BG7" i="8"/>
  <c r="BG8" i="8"/>
  <c r="BG9" i="8"/>
  <c r="BG10" i="8"/>
  <c r="BG11" i="8"/>
  <c r="BG12" i="8"/>
  <c r="BG13" i="8"/>
  <c r="BG14" i="8"/>
  <c r="BG15" i="8"/>
  <c r="BG16" i="8"/>
  <c r="BG17" i="8"/>
  <c r="BG18" i="8"/>
  <c r="BG19" i="8"/>
  <c r="BG20" i="8"/>
  <c r="BG21" i="8"/>
  <c r="BG22" i="8"/>
  <c r="BG23" i="8"/>
  <c r="BG24" i="8"/>
  <c r="BG25" i="8"/>
  <c r="BG26" i="8"/>
  <c r="BG27" i="8"/>
  <c r="BG28" i="8"/>
  <c r="BG29" i="8"/>
  <c r="BG30" i="8"/>
  <c r="BG31" i="8"/>
  <c r="BG32" i="8"/>
  <c r="BG33" i="8"/>
  <c r="BG34" i="8"/>
  <c r="BG35" i="8"/>
  <c r="BG36" i="8"/>
  <c r="BG37" i="8"/>
  <c r="BG38" i="8"/>
  <c r="BG39" i="8"/>
  <c r="BG40" i="8"/>
  <c r="BG41" i="8"/>
  <c r="BG42" i="8"/>
  <c r="BG43" i="8"/>
  <c r="BG44" i="8"/>
  <c r="BG45" i="8"/>
  <c r="BG46" i="8"/>
  <c r="BG47" i="8"/>
  <c r="BG48" i="8"/>
  <c r="BG49" i="8"/>
  <c r="BG50" i="8"/>
  <c r="BG51" i="8"/>
  <c r="BG52" i="8"/>
  <c r="BG53" i="8"/>
  <c r="BG54" i="8"/>
  <c r="BG55" i="8"/>
  <c r="BG56" i="8"/>
  <c r="BG57" i="8"/>
  <c r="BG58" i="8"/>
  <c r="BG59" i="8"/>
  <c r="BG60" i="8"/>
  <c r="BG61" i="8"/>
  <c r="BG62" i="8"/>
  <c r="BG63" i="8"/>
  <c r="BG64" i="8"/>
  <c r="BG65" i="8"/>
  <c r="BG66" i="8"/>
  <c r="BG67" i="8"/>
  <c r="BG68" i="8"/>
  <c r="BG69" i="8"/>
  <c r="BG70" i="8"/>
  <c r="BG71" i="8"/>
  <c r="BG72" i="8"/>
  <c r="BG73" i="8"/>
  <c r="BG74" i="8"/>
  <c r="BG75" i="8"/>
  <c r="BG76" i="8"/>
  <c r="BG77" i="8"/>
  <c r="BG78" i="8"/>
  <c r="BG79" i="8"/>
  <c r="BG80" i="8"/>
  <c r="BG81" i="8"/>
  <c r="BG82" i="8"/>
  <c r="BG83" i="8"/>
  <c r="BG84" i="8"/>
  <c r="BG85" i="8"/>
  <c r="BG86" i="8"/>
  <c r="BG87" i="8"/>
  <c r="BG88" i="8"/>
  <c r="BG89" i="8"/>
  <c r="BG90" i="8"/>
  <c r="BG91" i="8"/>
  <c r="BG92" i="8"/>
  <c r="BG93" i="8"/>
  <c r="BG94" i="8"/>
  <c r="BG95" i="8"/>
  <c r="BG96" i="8"/>
  <c r="BG97" i="8"/>
  <c r="BG98" i="8"/>
  <c r="BG99" i="8"/>
  <c r="BG100" i="8"/>
  <c r="BG101" i="8"/>
  <c r="BG102" i="8"/>
  <c r="BG103" i="8"/>
  <c r="BG104" i="8"/>
  <c r="BG105" i="8"/>
  <c r="BG106" i="8"/>
  <c r="BG107" i="8"/>
  <c r="BG108" i="8"/>
  <c r="BG109" i="8"/>
  <c r="BG110" i="8"/>
  <c r="BG111" i="8"/>
  <c r="BG112" i="8"/>
  <c r="BG113" i="8"/>
  <c r="BG114" i="8"/>
  <c r="BG115" i="8"/>
  <c r="BG116" i="8"/>
  <c r="BG117" i="8"/>
  <c r="BG118" i="8"/>
  <c r="BG119" i="8"/>
  <c r="BG120" i="8"/>
  <c r="BG121" i="8"/>
  <c r="BG122" i="8"/>
  <c r="BG123" i="8"/>
  <c r="BG124" i="8"/>
  <c r="BG125" i="8"/>
  <c r="BG126" i="8"/>
  <c r="BG127" i="8"/>
  <c r="BG128" i="8"/>
  <c r="BG129" i="8"/>
  <c r="BG130" i="8"/>
  <c r="BG131" i="8"/>
  <c r="BG132" i="8"/>
  <c r="BG133" i="8"/>
  <c r="BG134" i="8"/>
  <c r="BG135" i="8"/>
  <c r="BG136" i="8"/>
  <c r="BG137" i="8"/>
  <c r="BG138" i="8"/>
  <c r="BG139" i="8"/>
  <c r="BG140" i="8"/>
  <c r="BG141" i="8"/>
  <c r="BG142" i="8"/>
  <c r="BG143" i="8"/>
  <c r="BG144" i="8"/>
  <c r="BG145" i="8"/>
  <c r="BG146" i="8"/>
  <c r="BG147" i="8"/>
  <c r="BG148" i="8"/>
  <c r="BG149" i="8"/>
  <c r="BG150" i="8"/>
  <c r="BG151" i="8"/>
  <c r="BG152" i="8"/>
  <c r="BG153" i="8"/>
  <c r="BG154" i="8"/>
  <c r="BG155" i="8"/>
  <c r="BG156" i="8"/>
  <c r="BG157" i="8"/>
  <c r="BG158" i="8"/>
  <c r="BG159" i="8"/>
  <c r="BG160" i="8"/>
  <c r="BG161" i="8"/>
  <c r="BG162" i="8"/>
  <c r="BG163" i="8"/>
  <c r="BG164" i="8"/>
  <c r="BG165" i="8"/>
  <c r="BG166" i="8"/>
  <c r="BG167" i="8"/>
  <c r="BG168" i="8"/>
  <c r="BG169" i="8"/>
  <c r="BG170" i="8"/>
  <c r="BG171" i="8"/>
  <c r="BG172" i="8"/>
  <c r="BG173" i="8"/>
  <c r="BG174" i="8"/>
  <c r="BG175" i="8"/>
  <c r="BG176" i="8"/>
  <c r="BG177" i="8"/>
  <c r="BG178" i="8"/>
  <c r="BG179" i="8"/>
  <c r="BG180" i="8"/>
  <c r="BG181" i="8"/>
  <c r="BG182" i="8"/>
  <c r="BG183" i="8"/>
  <c r="BG184" i="8"/>
  <c r="BG185" i="8"/>
  <c r="BG186" i="8"/>
  <c r="BG187" i="8"/>
  <c r="BG188" i="8"/>
  <c r="BG189" i="8"/>
  <c r="BG190" i="8"/>
  <c r="BG191" i="8"/>
  <c r="BG192" i="8"/>
  <c r="BG193" i="8"/>
  <c r="BG194" i="8"/>
  <c r="BG195" i="8"/>
  <c r="BG196" i="8"/>
  <c r="BG197" i="8"/>
  <c r="BG198" i="8"/>
  <c r="BG199" i="8"/>
  <c r="BG200" i="8"/>
  <c r="BG201" i="8"/>
  <c r="BG202" i="8"/>
  <c r="BG203" i="8"/>
  <c r="BG204" i="8"/>
  <c r="BG205" i="8"/>
  <c r="BG206" i="8"/>
  <c r="BG207" i="8"/>
  <c r="BG208" i="8"/>
  <c r="BG209" i="8"/>
  <c r="BG210" i="8"/>
  <c r="BG211" i="8"/>
  <c r="BG212" i="8"/>
  <c r="BG213" i="8"/>
  <c r="BG214" i="8"/>
  <c r="BG215" i="8"/>
  <c r="BG216" i="8"/>
  <c r="BG217" i="8"/>
  <c r="BG218" i="8"/>
  <c r="BG219" i="8"/>
  <c r="BG220" i="8"/>
  <c r="BG221" i="8"/>
  <c r="BG222" i="8"/>
  <c r="BG223" i="8"/>
  <c r="BG224" i="8"/>
  <c r="BG225" i="8"/>
  <c r="BG226" i="8"/>
  <c r="BG227" i="8"/>
  <c r="BG228" i="8"/>
  <c r="BG229" i="8"/>
  <c r="BG230" i="8"/>
  <c r="BG231" i="8"/>
  <c r="BG232" i="8"/>
  <c r="BG233" i="8"/>
  <c r="BG234" i="8"/>
  <c r="BG235" i="8"/>
  <c r="BG236" i="8"/>
  <c r="BG237" i="8"/>
  <c r="BG238" i="8"/>
  <c r="BG239" i="8"/>
  <c r="BG240" i="8"/>
  <c r="BG241" i="8"/>
  <c r="BG242" i="8"/>
  <c r="BG243" i="8"/>
  <c r="BG244" i="8"/>
  <c r="BG245" i="8"/>
  <c r="BG246" i="8"/>
  <c r="BG247" i="8"/>
  <c r="BG248" i="8"/>
  <c r="BG249" i="8"/>
  <c r="BG250" i="8"/>
  <c r="BG251" i="8"/>
  <c r="BG252" i="8"/>
  <c r="BG253" i="8"/>
  <c r="BG254" i="8"/>
  <c r="BG255" i="8"/>
  <c r="BG5" i="8"/>
  <c r="BE2" i="8"/>
  <c r="BD2" i="8"/>
  <c r="BC2" i="8"/>
  <c r="BB2" i="8"/>
  <c r="BC4" i="8"/>
  <c r="BD4" i="8"/>
  <c r="BE4" i="8"/>
  <c r="BB4" i="8"/>
  <c r="BD11" i="8"/>
  <c r="BD12" i="8"/>
  <c r="BD13" i="8"/>
  <c r="BD14" i="8"/>
  <c r="BD15" i="8"/>
  <c r="BD16" i="8"/>
  <c r="BD17" i="8"/>
  <c r="BD18" i="8"/>
  <c r="BD19" i="8"/>
  <c r="BD20" i="8"/>
  <c r="BD21" i="8"/>
  <c r="BD22" i="8"/>
  <c r="BD23" i="8"/>
  <c r="BD24" i="8"/>
  <c r="BD25" i="8"/>
  <c r="BD26" i="8"/>
  <c r="BD27" i="8"/>
  <c r="BD28" i="8"/>
  <c r="BD29" i="8"/>
  <c r="BD30" i="8"/>
  <c r="BD31" i="8"/>
  <c r="BD32" i="8"/>
  <c r="BD33" i="8"/>
  <c r="BD34" i="8"/>
  <c r="BD35" i="8"/>
  <c r="BD36" i="8"/>
  <c r="BD37" i="8"/>
  <c r="BD38" i="8"/>
  <c r="BD39" i="8"/>
  <c r="BD40" i="8"/>
  <c r="BD41" i="8"/>
  <c r="BD42" i="8"/>
  <c r="BD43" i="8"/>
  <c r="BD44" i="8"/>
  <c r="BD45" i="8"/>
  <c r="BD46" i="8"/>
  <c r="BD47" i="8"/>
  <c r="BD48" i="8"/>
  <c r="BD49" i="8"/>
  <c r="BD50" i="8"/>
  <c r="BD51" i="8"/>
  <c r="BD52" i="8"/>
  <c r="BD53" i="8"/>
  <c r="BD54" i="8"/>
  <c r="BD55" i="8"/>
  <c r="BD56" i="8"/>
  <c r="BD57" i="8"/>
  <c r="BD58" i="8"/>
  <c r="BD59" i="8"/>
  <c r="BD60" i="8"/>
  <c r="BD61" i="8"/>
  <c r="BD62" i="8"/>
  <c r="BD63" i="8"/>
  <c r="BD64" i="8"/>
  <c r="BD65" i="8"/>
  <c r="BD66" i="8"/>
  <c r="BD67" i="8"/>
  <c r="BD68" i="8"/>
  <c r="BD69" i="8"/>
  <c r="BD70" i="8"/>
  <c r="BD71" i="8"/>
  <c r="BD72" i="8"/>
  <c r="BD73" i="8"/>
  <c r="BD74" i="8"/>
  <c r="BD75" i="8"/>
  <c r="BD76" i="8"/>
  <c r="BD77" i="8"/>
  <c r="BD78" i="8"/>
  <c r="BD79" i="8"/>
  <c r="BD80" i="8"/>
  <c r="BD81" i="8"/>
  <c r="BD82" i="8"/>
  <c r="BD83" i="8"/>
  <c r="BD84" i="8"/>
  <c r="BD85" i="8"/>
  <c r="BD86" i="8"/>
  <c r="BD87" i="8"/>
  <c r="BD88" i="8"/>
  <c r="BD89" i="8"/>
  <c r="BD90" i="8"/>
  <c r="BD91" i="8"/>
  <c r="BD92" i="8"/>
  <c r="BD93" i="8"/>
  <c r="BD94" i="8"/>
  <c r="BD95" i="8"/>
  <c r="BD96" i="8"/>
  <c r="BD97" i="8"/>
  <c r="BD98" i="8"/>
  <c r="BD99" i="8"/>
  <c r="BD100" i="8"/>
  <c r="BD101" i="8"/>
  <c r="BD102" i="8"/>
  <c r="BD103" i="8"/>
  <c r="BD104" i="8"/>
  <c r="BD105" i="8"/>
  <c r="BD106" i="8"/>
  <c r="BD107" i="8"/>
  <c r="BD108" i="8"/>
  <c r="BD109" i="8"/>
  <c r="BD110" i="8"/>
  <c r="BD111" i="8"/>
  <c r="BD112" i="8"/>
  <c r="BD113" i="8"/>
  <c r="BD114" i="8"/>
  <c r="BD115" i="8"/>
  <c r="BD116" i="8"/>
  <c r="BD117" i="8"/>
  <c r="BD118" i="8"/>
  <c r="BD119" i="8"/>
  <c r="BD120" i="8"/>
  <c r="BD121" i="8"/>
  <c r="BD122" i="8"/>
  <c r="BD123" i="8"/>
  <c r="BD124" i="8"/>
  <c r="BD125" i="8"/>
  <c r="BD126" i="8"/>
  <c r="BD127" i="8"/>
  <c r="BD128" i="8"/>
  <c r="BD129" i="8"/>
  <c r="BD130" i="8"/>
  <c r="BD131" i="8"/>
  <c r="BD132" i="8"/>
  <c r="BD133" i="8"/>
  <c r="BD134" i="8"/>
  <c r="BD135" i="8"/>
  <c r="BD136" i="8"/>
  <c r="BD137" i="8"/>
  <c r="BD138" i="8"/>
  <c r="BD139" i="8"/>
  <c r="BD140" i="8"/>
  <c r="BD141" i="8"/>
  <c r="BD142" i="8"/>
  <c r="BD143" i="8"/>
  <c r="BD144" i="8"/>
  <c r="BD145" i="8"/>
  <c r="BD146" i="8"/>
  <c r="BD147" i="8"/>
  <c r="BD148" i="8"/>
  <c r="BD149" i="8"/>
  <c r="BD150" i="8"/>
  <c r="BD151" i="8"/>
  <c r="BD152" i="8"/>
  <c r="BD153" i="8"/>
  <c r="BD154" i="8"/>
  <c r="BD155" i="8"/>
  <c r="BD156" i="8"/>
  <c r="BD157" i="8"/>
  <c r="BD158" i="8"/>
  <c r="BD159" i="8"/>
  <c r="BD160" i="8"/>
  <c r="BD161" i="8"/>
  <c r="BD162" i="8"/>
  <c r="BD163" i="8"/>
  <c r="BD164" i="8"/>
  <c r="BD165" i="8"/>
  <c r="BD166" i="8"/>
  <c r="BD167" i="8"/>
  <c r="BD168" i="8"/>
  <c r="BD169" i="8"/>
  <c r="BD170" i="8"/>
  <c r="BD171" i="8"/>
  <c r="BD172" i="8"/>
  <c r="BD173" i="8"/>
  <c r="BD174" i="8"/>
  <c r="BD175" i="8"/>
  <c r="BD176" i="8"/>
  <c r="BD177" i="8"/>
  <c r="BD178" i="8"/>
  <c r="BD179" i="8"/>
  <c r="BD180" i="8"/>
  <c r="BD181" i="8"/>
  <c r="BD182" i="8"/>
  <c r="BD183" i="8"/>
  <c r="BD184" i="8"/>
  <c r="BD185" i="8"/>
  <c r="BD186" i="8"/>
  <c r="BD187" i="8"/>
  <c r="BD188" i="8"/>
  <c r="BD189" i="8"/>
  <c r="BD190" i="8"/>
  <c r="BD191" i="8"/>
  <c r="BD192" i="8"/>
  <c r="BD193" i="8"/>
  <c r="BD194" i="8"/>
  <c r="BD195" i="8"/>
  <c r="BD196" i="8"/>
  <c r="BD197" i="8"/>
  <c r="BD198" i="8"/>
  <c r="BD199" i="8"/>
  <c r="BD200" i="8"/>
  <c r="BD201" i="8"/>
  <c r="BD202" i="8"/>
  <c r="BD203" i="8"/>
  <c r="BD204" i="8"/>
  <c r="BD205" i="8"/>
  <c r="BD206" i="8"/>
  <c r="BD207" i="8"/>
  <c r="BD208" i="8"/>
  <c r="BD209" i="8"/>
  <c r="BD210" i="8"/>
  <c r="BD211" i="8"/>
  <c r="BD212" i="8"/>
  <c r="BD213" i="8"/>
  <c r="BD214" i="8"/>
  <c r="BD215" i="8"/>
  <c r="BD216" i="8"/>
  <c r="BD217" i="8"/>
  <c r="BD218" i="8"/>
  <c r="BD219" i="8"/>
  <c r="BD220" i="8"/>
  <c r="BD221" i="8"/>
  <c r="BD222" i="8"/>
  <c r="BD223" i="8"/>
  <c r="BD224" i="8"/>
  <c r="BD225" i="8"/>
  <c r="BD226" i="8"/>
  <c r="BD227" i="8"/>
  <c r="BD228" i="8"/>
  <c r="BD229" i="8"/>
  <c r="BD230" i="8"/>
  <c r="BD231" i="8"/>
  <c r="BD232" i="8"/>
  <c r="BD233" i="8"/>
  <c r="BD234" i="8"/>
  <c r="BD235" i="8"/>
  <c r="BD236" i="8"/>
  <c r="BD237" i="8"/>
  <c r="BD238" i="8"/>
  <c r="BD239" i="8"/>
  <c r="BD240" i="8"/>
  <c r="BD241" i="8"/>
  <c r="BD242" i="8"/>
  <c r="BD243" i="8"/>
  <c r="BD244" i="8"/>
  <c r="BD245" i="8"/>
  <c r="BD246" i="8"/>
  <c r="BD247" i="8"/>
  <c r="BD248" i="8"/>
  <c r="BD249" i="8"/>
  <c r="BD250" i="8"/>
  <c r="BD251" i="8"/>
  <c r="BD252" i="8"/>
  <c r="BD253" i="8"/>
  <c r="BD254" i="8"/>
  <c r="BD255" i="8"/>
  <c r="BD256" i="8"/>
  <c r="BD6" i="8"/>
  <c r="BD7" i="8"/>
  <c r="BD8" i="8"/>
  <c r="BD9" i="8"/>
  <c r="BD10" i="8"/>
  <c r="BD5" i="8"/>
  <c r="AN30" i="8"/>
  <c r="AO30" i="8"/>
  <c r="AP30" i="8"/>
  <c r="AQ30" i="8"/>
  <c r="AR30" i="8"/>
  <c r="AS30" i="8"/>
  <c r="AT30" i="8"/>
  <c r="AU30" i="8"/>
  <c r="AV30" i="8"/>
  <c r="AM30" i="8"/>
  <c r="AN28" i="8"/>
  <c r="AO28" i="8"/>
  <c r="AP28" i="8"/>
  <c r="AQ28" i="8"/>
  <c r="AR28" i="8"/>
  <c r="AS28" i="8"/>
  <c r="AT28" i="8"/>
  <c r="AU28" i="8"/>
  <c r="AV28" i="8"/>
  <c r="AM28" i="8"/>
  <c r="AW25" i="8"/>
  <c r="AW24" i="8"/>
  <c r="AW18" i="8"/>
  <c r="AW17" i="8"/>
  <c r="BB32" i="8"/>
  <c r="BB33" i="8"/>
  <c r="BB44" i="8"/>
  <c r="BB45" i="8"/>
  <c r="BB56" i="8"/>
  <c r="BB57" i="8"/>
  <c r="BB68" i="8"/>
  <c r="BB69" i="8"/>
  <c r="BB80" i="8"/>
  <c r="BB81" i="8"/>
  <c r="BB92" i="8"/>
  <c r="BB93" i="8"/>
  <c r="BB104" i="8"/>
  <c r="BB105" i="8"/>
  <c r="BB116" i="8"/>
  <c r="BB117" i="8"/>
  <c r="BB128" i="8"/>
  <c r="BB129" i="8"/>
  <c r="BB140" i="8"/>
  <c r="BB141" i="8"/>
  <c r="BB152" i="8"/>
  <c r="BB153" i="8"/>
  <c r="BB164" i="8"/>
  <c r="BB165" i="8"/>
  <c r="BB176" i="8"/>
  <c r="BB177" i="8"/>
  <c r="BB188" i="8"/>
  <c r="BB189" i="8"/>
  <c r="BB200" i="8"/>
  <c r="BB201" i="8"/>
  <c r="BB212" i="8"/>
  <c r="BB213" i="8"/>
  <c r="BB224" i="8"/>
  <c r="BB225" i="8"/>
  <c r="BB236" i="8"/>
  <c r="BB237" i="8"/>
  <c r="BB248" i="8"/>
  <c r="BB249" i="8"/>
  <c r="BB16" i="8"/>
  <c r="BB17" i="8"/>
  <c r="BB6" i="8"/>
  <c r="BB7" i="8"/>
  <c r="BA7" i="8"/>
  <c r="BA8" i="8" s="1"/>
  <c r="BA9" i="8" s="1"/>
  <c r="BA10" i="8" s="1"/>
  <c r="BA11" i="8" s="1"/>
  <c r="BA12" i="8" s="1"/>
  <c r="BA13" i="8" s="1"/>
  <c r="BA14" i="8" s="1"/>
  <c r="BA15" i="8" s="1"/>
  <c r="BA16" i="8" s="1"/>
  <c r="BA17" i="8" s="1"/>
  <c r="BA18" i="8" s="1"/>
  <c r="BA19" i="8" s="1"/>
  <c r="BA20" i="8" s="1"/>
  <c r="BA21" i="8" s="1"/>
  <c r="BA22" i="8" s="1"/>
  <c r="BA23" i="8" s="1"/>
  <c r="BA24" i="8" s="1"/>
  <c r="BA25" i="8" s="1"/>
  <c r="BA26" i="8" s="1"/>
  <c r="BA27" i="8" s="1"/>
  <c r="BA28" i="8" s="1"/>
  <c r="BA29" i="8" s="1"/>
  <c r="BA30" i="8" s="1"/>
  <c r="BA31" i="8" s="1"/>
  <c r="BA32" i="8" s="1"/>
  <c r="BA33" i="8" s="1"/>
  <c r="BA34" i="8" s="1"/>
  <c r="BA35" i="8" s="1"/>
  <c r="BA36" i="8" s="1"/>
  <c r="BA37" i="8" s="1"/>
  <c r="BA38" i="8" s="1"/>
  <c r="BA39" i="8" s="1"/>
  <c r="BA40" i="8" s="1"/>
  <c r="BA41" i="8" s="1"/>
  <c r="BA42" i="8" s="1"/>
  <c r="BA43" i="8" s="1"/>
  <c r="BA44" i="8" s="1"/>
  <c r="BA45" i="8" s="1"/>
  <c r="BA46" i="8" s="1"/>
  <c r="BA47" i="8" s="1"/>
  <c r="BA48" i="8" s="1"/>
  <c r="BA49" i="8" s="1"/>
  <c r="BA50" i="8" s="1"/>
  <c r="BA51" i="8" s="1"/>
  <c r="BA52" i="8" s="1"/>
  <c r="BA53" i="8" s="1"/>
  <c r="BA54" i="8" s="1"/>
  <c r="BA55" i="8" s="1"/>
  <c r="BA56" i="8" s="1"/>
  <c r="BA57" i="8" s="1"/>
  <c r="BA58" i="8" s="1"/>
  <c r="BA59" i="8" s="1"/>
  <c r="BA60" i="8" s="1"/>
  <c r="BA61" i="8" s="1"/>
  <c r="BA62" i="8" s="1"/>
  <c r="BA63" i="8" s="1"/>
  <c r="BA64" i="8" s="1"/>
  <c r="BA65" i="8" s="1"/>
  <c r="BA66" i="8" s="1"/>
  <c r="BA67" i="8" s="1"/>
  <c r="BA68" i="8" s="1"/>
  <c r="BA69" i="8" s="1"/>
  <c r="BA70" i="8" s="1"/>
  <c r="BA71" i="8" s="1"/>
  <c r="BA72" i="8" s="1"/>
  <c r="BA73" i="8" s="1"/>
  <c r="BA74" i="8" s="1"/>
  <c r="BA75" i="8" s="1"/>
  <c r="BA76" i="8" s="1"/>
  <c r="BA77" i="8" s="1"/>
  <c r="BA78" i="8" s="1"/>
  <c r="BA79" i="8" s="1"/>
  <c r="BA80" i="8" s="1"/>
  <c r="BA81" i="8" s="1"/>
  <c r="BA82" i="8" s="1"/>
  <c r="BA83" i="8" s="1"/>
  <c r="BA84" i="8" s="1"/>
  <c r="BA85" i="8" s="1"/>
  <c r="BA86" i="8" s="1"/>
  <c r="BA87" i="8" s="1"/>
  <c r="BA88" i="8" s="1"/>
  <c r="BA89" i="8" s="1"/>
  <c r="BA90" i="8" s="1"/>
  <c r="BA91" i="8" s="1"/>
  <c r="BA92" i="8" s="1"/>
  <c r="BA93" i="8" s="1"/>
  <c r="BA94" i="8" s="1"/>
  <c r="BA95" i="8" s="1"/>
  <c r="BA96" i="8" s="1"/>
  <c r="BA97" i="8" s="1"/>
  <c r="BA98" i="8" s="1"/>
  <c r="BA99" i="8" s="1"/>
  <c r="BA100" i="8" s="1"/>
  <c r="BA101" i="8" s="1"/>
  <c r="BA102" i="8" s="1"/>
  <c r="BA103" i="8" s="1"/>
  <c r="BA104" i="8" s="1"/>
  <c r="BA105" i="8" s="1"/>
  <c r="BA106" i="8" s="1"/>
  <c r="BA107" i="8" s="1"/>
  <c r="BA108" i="8" s="1"/>
  <c r="BA109" i="8" s="1"/>
  <c r="BA110" i="8" s="1"/>
  <c r="BA111" i="8" s="1"/>
  <c r="BA112" i="8" s="1"/>
  <c r="BA113" i="8" s="1"/>
  <c r="BA114" i="8" s="1"/>
  <c r="BA115" i="8" s="1"/>
  <c r="BA116" i="8" s="1"/>
  <c r="BA117" i="8" s="1"/>
  <c r="BA118" i="8" s="1"/>
  <c r="BA119" i="8" s="1"/>
  <c r="BA120" i="8" s="1"/>
  <c r="BA121" i="8" s="1"/>
  <c r="BA122" i="8" s="1"/>
  <c r="BA123" i="8" s="1"/>
  <c r="BA124" i="8" s="1"/>
  <c r="BA125" i="8" s="1"/>
  <c r="BA126" i="8" s="1"/>
  <c r="BA127" i="8" s="1"/>
  <c r="BA128" i="8" s="1"/>
  <c r="BA129" i="8" s="1"/>
  <c r="BA130" i="8" s="1"/>
  <c r="BA131" i="8" s="1"/>
  <c r="BA132" i="8" s="1"/>
  <c r="BA133" i="8" s="1"/>
  <c r="BA134" i="8" s="1"/>
  <c r="BA135" i="8" s="1"/>
  <c r="BA136" i="8" s="1"/>
  <c r="BA137" i="8" s="1"/>
  <c r="BA138" i="8" s="1"/>
  <c r="BA139" i="8" s="1"/>
  <c r="BA140" i="8" s="1"/>
  <c r="BA141" i="8" s="1"/>
  <c r="BA142" i="8" s="1"/>
  <c r="BA143" i="8" s="1"/>
  <c r="BA144" i="8" s="1"/>
  <c r="BA145" i="8" s="1"/>
  <c r="BA146" i="8" s="1"/>
  <c r="BA147" i="8" s="1"/>
  <c r="BA148" i="8" s="1"/>
  <c r="BA149" i="8" s="1"/>
  <c r="BA150" i="8" s="1"/>
  <c r="BA151" i="8" s="1"/>
  <c r="BA152" i="8" s="1"/>
  <c r="BA153" i="8" s="1"/>
  <c r="BA154" i="8" s="1"/>
  <c r="BA155" i="8" s="1"/>
  <c r="BA156" i="8" s="1"/>
  <c r="BA157" i="8" s="1"/>
  <c r="BA158" i="8" s="1"/>
  <c r="BA159" i="8" s="1"/>
  <c r="BA160" i="8" s="1"/>
  <c r="BA161" i="8" s="1"/>
  <c r="BA162" i="8" s="1"/>
  <c r="BA163" i="8" s="1"/>
  <c r="BA164" i="8" s="1"/>
  <c r="BA165" i="8" s="1"/>
  <c r="BA166" i="8" s="1"/>
  <c r="BA167" i="8" s="1"/>
  <c r="BA168" i="8" s="1"/>
  <c r="BA169" i="8" s="1"/>
  <c r="BA170" i="8" s="1"/>
  <c r="BA171" i="8" s="1"/>
  <c r="BA172" i="8" s="1"/>
  <c r="BA173" i="8" s="1"/>
  <c r="BA174" i="8" s="1"/>
  <c r="BA175" i="8" s="1"/>
  <c r="BA176" i="8" s="1"/>
  <c r="BA177" i="8" s="1"/>
  <c r="BA178" i="8" s="1"/>
  <c r="BA179" i="8" s="1"/>
  <c r="BA180" i="8" s="1"/>
  <c r="BA181" i="8" s="1"/>
  <c r="BA182" i="8" s="1"/>
  <c r="BA183" i="8" s="1"/>
  <c r="BA184" i="8" s="1"/>
  <c r="BA185" i="8" s="1"/>
  <c r="BA186" i="8" s="1"/>
  <c r="BA187" i="8" s="1"/>
  <c r="BA188" i="8" s="1"/>
  <c r="BA189" i="8" s="1"/>
  <c r="BA190" i="8" s="1"/>
  <c r="BA191" i="8" s="1"/>
  <c r="BA192" i="8" s="1"/>
  <c r="BA193" i="8" s="1"/>
  <c r="BA194" i="8" s="1"/>
  <c r="BA195" i="8" s="1"/>
  <c r="BA196" i="8" s="1"/>
  <c r="BA197" i="8" s="1"/>
  <c r="BA198" i="8" s="1"/>
  <c r="BA199" i="8" s="1"/>
  <c r="BA200" i="8" s="1"/>
  <c r="BA201" i="8" s="1"/>
  <c r="BA202" i="8" s="1"/>
  <c r="BA203" i="8" s="1"/>
  <c r="BA204" i="8" s="1"/>
  <c r="BA205" i="8" s="1"/>
  <c r="BA206" i="8" s="1"/>
  <c r="BA207" i="8" s="1"/>
  <c r="BA208" i="8" s="1"/>
  <c r="BA209" i="8" s="1"/>
  <c r="BA210" i="8" s="1"/>
  <c r="BA211" i="8" s="1"/>
  <c r="BA212" i="8" s="1"/>
  <c r="BA213" i="8" s="1"/>
  <c r="BA214" i="8" s="1"/>
  <c r="BA215" i="8" s="1"/>
  <c r="BA216" i="8" s="1"/>
  <c r="BA217" i="8" s="1"/>
  <c r="BA218" i="8" s="1"/>
  <c r="BA219" i="8" s="1"/>
  <c r="BA220" i="8" s="1"/>
  <c r="BA221" i="8" s="1"/>
  <c r="BA222" i="8" s="1"/>
  <c r="BA223" i="8" s="1"/>
  <c r="BA224" i="8" s="1"/>
  <c r="BA225" i="8" s="1"/>
  <c r="BA226" i="8" s="1"/>
  <c r="BA227" i="8" s="1"/>
  <c r="BA228" i="8" s="1"/>
  <c r="BA229" i="8" s="1"/>
  <c r="BA230" i="8" s="1"/>
  <c r="BA231" i="8" s="1"/>
  <c r="BA232" i="8" s="1"/>
  <c r="BA233" i="8" s="1"/>
  <c r="BA234" i="8" s="1"/>
  <c r="BA235" i="8" s="1"/>
  <c r="BA236" i="8" s="1"/>
  <c r="BA237" i="8" s="1"/>
  <c r="BA238" i="8" s="1"/>
  <c r="BA239" i="8" s="1"/>
  <c r="BA240" i="8" s="1"/>
  <c r="BA241" i="8" s="1"/>
  <c r="BA242" i="8" s="1"/>
  <c r="BA243" i="8" s="1"/>
  <c r="BA244" i="8" s="1"/>
  <c r="BA245" i="8" s="1"/>
  <c r="BA246" i="8" s="1"/>
  <c r="BA247" i="8" s="1"/>
  <c r="BA248" i="8" s="1"/>
  <c r="BA249" i="8" s="1"/>
  <c r="BA250" i="8" s="1"/>
  <c r="BA251" i="8" s="1"/>
  <c r="BA252" i="8" s="1"/>
  <c r="BA253" i="8" s="1"/>
  <c r="BA254" i="8" s="1"/>
  <c r="BA255" i="8" s="1"/>
  <c r="BA256" i="8" s="1"/>
  <c r="AN5" i="8"/>
  <c r="BB106" i="8" s="1"/>
  <c r="AO5" i="8"/>
  <c r="BB131" i="8" s="1"/>
  <c r="AP5" i="8"/>
  <c r="AQ5" i="8"/>
  <c r="AR5" i="8"/>
  <c r="AS5" i="8"/>
  <c r="AT5" i="8"/>
  <c r="AU5" i="8"/>
  <c r="AV5" i="8"/>
  <c r="AM5" i="8"/>
  <c r="BB5" i="8" s="1"/>
  <c r="AB69" i="8"/>
  <c r="AC69" i="8"/>
  <c r="AD69" i="8"/>
  <c r="AF69" i="8"/>
  <c r="AG69" i="8"/>
  <c r="AH69" i="8"/>
  <c r="AI69" i="8"/>
  <c r="AJ69" i="8"/>
  <c r="AE69" i="8"/>
  <c r="AA69" i="8"/>
  <c r="AD12" i="8"/>
  <c r="AE12" i="8"/>
  <c r="AF12" i="8"/>
  <c r="AG12" i="8"/>
  <c r="AH12" i="8"/>
  <c r="AI12" i="8"/>
  <c r="AJ12" i="8"/>
  <c r="AC12" i="8"/>
  <c r="AD11" i="8"/>
  <c r="AE11" i="8"/>
  <c r="AF11" i="8"/>
  <c r="AG11" i="8"/>
  <c r="AH11" i="8"/>
  <c r="AI11" i="8"/>
  <c r="AJ11" i="8"/>
  <c r="AC11" i="8"/>
  <c r="AD10" i="8"/>
  <c r="AE10" i="8"/>
  <c r="AF10" i="8"/>
  <c r="AG10" i="8"/>
  <c r="AH10" i="8"/>
  <c r="AI10" i="8"/>
  <c r="AJ10" i="8"/>
  <c r="AC10" i="8"/>
  <c r="AD9" i="8"/>
  <c r="AE9" i="8"/>
  <c r="AF9" i="8"/>
  <c r="AG9" i="8"/>
  <c r="AH9" i="8"/>
  <c r="AI9" i="8"/>
  <c r="AJ9" i="8"/>
  <c r="AC9" i="8"/>
  <c r="AD8" i="8"/>
  <c r="AE8" i="8"/>
  <c r="AF8" i="8"/>
  <c r="AG8" i="8"/>
  <c r="AH8" i="8"/>
  <c r="AI8" i="8"/>
  <c r="AJ8" i="8"/>
  <c r="AC8" i="8"/>
  <c r="AD7" i="8"/>
  <c r="AE7" i="8"/>
  <c r="AF7" i="8"/>
  <c r="AG7" i="8"/>
  <c r="AH7" i="8"/>
  <c r="AI7" i="8"/>
  <c r="AJ7" i="8"/>
  <c r="AC7" i="8"/>
  <c r="AJ6" i="8"/>
  <c r="AD6" i="8"/>
  <c r="AE6" i="8"/>
  <c r="AF6" i="8"/>
  <c r="AG6" i="8"/>
  <c r="AH6" i="8"/>
  <c r="AI6" i="8"/>
  <c r="AC6" i="8"/>
  <c r="AD5" i="8"/>
  <c r="AE5" i="8"/>
  <c r="AF5" i="8"/>
  <c r="AG5" i="8"/>
  <c r="AH5" i="8"/>
  <c r="AI5" i="8"/>
  <c r="AJ5" i="8"/>
  <c r="AC5" i="8"/>
  <c r="AD4" i="8"/>
  <c r="AE4" i="8"/>
  <c r="AF4" i="8"/>
  <c r="AG4" i="8"/>
  <c r="AH4" i="8"/>
  <c r="AI4" i="8"/>
  <c r="AJ4" i="8"/>
  <c r="AC4" i="8"/>
  <c r="AB3" i="8"/>
  <c r="AC3" i="8"/>
  <c r="AD3" i="8"/>
  <c r="AE3" i="8"/>
  <c r="AF3" i="8"/>
  <c r="AG3" i="8"/>
  <c r="AH3" i="8"/>
  <c r="AI3" i="8"/>
  <c r="AJ3" i="8"/>
  <c r="AA3" i="8"/>
  <c r="AB4" i="8"/>
  <c r="AB5" i="8"/>
  <c r="AB6" i="8"/>
  <c r="AB7" i="8"/>
  <c r="AB8" i="8"/>
  <c r="AB9" i="8"/>
  <c r="AB10" i="8"/>
  <c r="AB11" i="8"/>
  <c r="AB12" i="8"/>
  <c r="AA12" i="8"/>
  <c r="AA11" i="8"/>
  <c r="AA10" i="8"/>
  <c r="AA9" i="8"/>
  <c r="AA8" i="8"/>
  <c r="AA7" i="8"/>
  <c r="AA6" i="8"/>
  <c r="AA5" i="8"/>
  <c r="AA4" i="8"/>
  <c r="AA29" i="8" a="1"/>
  <c r="AA16" i="8" a="1"/>
  <c r="BB27" i="8" l="1"/>
  <c r="BB15" i="8"/>
  <c r="BB247" i="8"/>
  <c r="BB235" i="8"/>
  <c r="BB223" i="8"/>
  <c r="BB211" i="8"/>
  <c r="BB199" i="8"/>
  <c r="BB187" i="8"/>
  <c r="BB175" i="8"/>
  <c r="BB163" i="8"/>
  <c r="BB151" i="8"/>
  <c r="BB139" i="8"/>
  <c r="BB127" i="8"/>
  <c r="BB115" i="8"/>
  <c r="BB103" i="8"/>
  <c r="BB91" i="8"/>
  <c r="BB79" i="8"/>
  <c r="BB67" i="8"/>
  <c r="BB55" i="8"/>
  <c r="BB43" i="8"/>
  <c r="BB31" i="8"/>
  <c r="BB26" i="8"/>
  <c r="BB14" i="8"/>
  <c r="BB246" i="8"/>
  <c r="BB234" i="8"/>
  <c r="BB222" i="8"/>
  <c r="BB210" i="8"/>
  <c r="BB198" i="8"/>
  <c r="BB186" i="8"/>
  <c r="BB174" i="8"/>
  <c r="BB162" i="8"/>
  <c r="BB150" i="8"/>
  <c r="BB138" i="8"/>
  <c r="BB126" i="8"/>
  <c r="BB114" i="8"/>
  <c r="BB102" i="8"/>
  <c r="BB90" i="8"/>
  <c r="BB78" i="8"/>
  <c r="BB66" i="8"/>
  <c r="BB54" i="8"/>
  <c r="BB42" i="8"/>
  <c r="BB30" i="8"/>
  <c r="BB25" i="8"/>
  <c r="BB13" i="8"/>
  <c r="BB245" i="8"/>
  <c r="BB233" i="8"/>
  <c r="BB221" i="8"/>
  <c r="BB209" i="8"/>
  <c r="BB197" i="8"/>
  <c r="BB185" i="8"/>
  <c r="BB173" i="8"/>
  <c r="BB161" i="8"/>
  <c r="BB149" i="8"/>
  <c r="BB137" i="8"/>
  <c r="BB125" i="8"/>
  <c r="BB113" i="8"/>
  <c r="BB101" i="8"/>
  <c r="BB89" i="8"/>
  <c r="BB77" i="8"/>
  <c r="BB65" i="8"/>
  <c r="BB53" i="8"/>
  <c r="BB41" i="8"/>
  <c r="BB29" i="8"/>
  <c r="BB24" i="8"/>
  <c r="BB256" i="8"/>
  <c r="BB244" i="8"/>
  <c r="BB232" i="8"/>
  <c r="BB220" i="8"/>
  <c r="BB208" i="8"/>
  <c r="BB196" i="8"/>
  <c r="BB184" i="8"/>
  <c r="BB172" i="8"/>
  <c r="BB160" i="8"/>
  <c r="BB148" i="8"/>
  <c r="BB136" i="8"/>
  <c r="BB124" i="8"/>
  <c r="BB112" i="8"/>
  <c r="BB100" i="8"/>
  <c r="BB88" i="8"/>
  <c r="BB76" i="8"/>
  <c r="BB64" i="8"/>
  <c r="BB52" i="8"/>
  <c r="BB40" i="8"/>
  <c r="BB28" i="8"/>
  <c r="BB23" i="8"/>
  <c r="BB255" i="8"/>
  <c r="BB243" i="8"/>
  <c r="BB231" i="8"/>
  <c r="BB219" i="8"/>
  <c r="BB207" i="8"/>
  <c r="BB195" i="8"/>
  <c r="BB183" i="8"/>
  <c r="BB171" i="8"/>
  <c r="BB159" i="8"/>
  <c r="BB147" i="8"/>
  <c r="BB135" i="8"/>
  <c r="BB123" i="8"/>
  <c r="BB111" i="8"/>
  <c r="BB99" i="8"/>
  <c r="BB87" i="8"/>
  <c r="BB75" i="8"/>
  <c r="BB63" i="8"/>
  <c r="BB51" i="8"/>
  <c r="BB39" i="8"/>
  <c r="BB12" i="8"/>
  <c r="BB22" i="8"/>
  <c r="BB254" i="8"/>
  <c r="BB242" i="8"/>
  <c r="BB230" i="8"/>
  <c r="BB218" i="8"/>
  <c r="BB206" i="8"/>
  <c r="BB194" i="8"/>
  <c r="BB182" i="8"/>
  <c r="BB170" i="8"/>
  <c r="BB158" i="8"/>
  <c r="BB146" i="8"/>
  <c r="BB134" i="8"/>
  <c r="BB122" i="8"/>
  <c r="BB110" i="8"/>
  <c r="BB98" i="8"/>
  <c r="BB86" i="8"/>
  <c r="BB74" i="8"/>
  <c r="BB62" i="8"/>
  <c r="BB50" i="8"/>
  <c r="BB38" i="8"/>
  <c r="BB11" i="8"/>
  <c r="BB21" i="8"/>
  <c r="BB253" i="8"/>
  <c r="BB241" i="8"/>
  <c r="BB229" i="8"/>
  <c r="BB217" i="8"/>
  <c r="BB205" i="8"/>
  <c r="BB193" i="8"/>
  <c r="BB181" i="8"/>
  <c r="BB169" i="8"/>
  <c r="BB157" i="8"/>
  <c r="BB145" i="8"/>
  <c r="BB133" i="8"/>
  <c r="BB121" i="8"/>
  <c r="BB109" i="8"/>
  <c r="BB97" i="8"/>
  <c r="BB85" i="8"/>
  <c r="BB73" i="8"/>
  <c r="BB61" i="8"/>
  <c r="BB49" i="8"/>
  <c r="BB37" i="8"/>
  <c r="BB10" i="8"/>
  <c r="BB20" i="8"/>
  <c r="BB252" i="8"/>
  <c r="BB240" i="8"/>
  <c r="BB228" i="8"/>
  <c r="BB216" i="8"/>
  <c r="BB204" i="8"/>
  <c r="BB192" i="8"/>
  <c r="BB180" i="8"/>
  <c r="BB168" i="8"/>
  <c r="BB156" i="8"/>
  <c r="BB144" i="8"/>
  <c r="BB132" i="8"/>
  <c r="BB120" i="8"/>
  <c r="BB108" i="8"/>
  <c r="BB96" i="8"/>
  <c r="BB84" i="8"/>
  <c r="BB72" i="8"/>
  <c r="BB60" i="8"/>
  <c r="BB48" i="8"/>
  <c r="BB36" i="8"/>
  <c r="BB9" i="8"/>
  <c r="BB19" i="8"/>
  <c r="BB251" i="8"/>
  <c r="BB239" i="8"/>
  <c r="BB227" i="8"/>
  <c r="BB215" i="8"/>
  <c r="BB203" i="8"/>
  <c r="BB191" i="8"/>
  <c r="BB179" i="8"/>
  <c r="BB167" i="8"/>
  <c r="BB155" i="8"/>
  <c r="BB143" i="8"/>
  <c r="BB119" i="8"/>
  <c r="BB107" i="8"/>
  <c r="BB95" i="8"/>
  <c r="BB83" i="8"/>
  <c r="BB71" i="8"/>
  <c r="BB59" i="8"/>
  <c r="BB47" i="8"/>
  <c r="BB35" i="8"/>
  <c r="BB8" i="8"/>
  <c r="BB18" i="8"/>
  <c r="BB250" i="8"/>
  <c r="BB238" i="8"/>
  <c r="BB226" i="8"/>
  <c r="BB214" i="8"/>
  <c r="BB202" i="8"/>
  <c r="BB190" i="8"/>
  <c r="BB178" i="8"/>
  <c r="BB166" i="8"/>
  <c r="BB154" i="8"/>
  <c r="BB142" i="8"/>
  <c r="BB130" i="8"/>
  <c r="BB118" i="8"/>
  <c r="BB94" i="8"/>
  <c r="BB82" i="8"/>
  <c r="BB70" i="8"/>
  <c r="BB58" i="8"/>
  <c r="BB46" i="8"/>
  <c r="BB34" i="8"/>
  <c r="AA29" i="8"/>
  <c r="AA43" i="8" s="1"/>
  <c r="AC30" i="8"/>
  <c r="AC44" i="8" s="1"/>
  <c r="AE31" i="8"/>
  <c r="AE45" i="8" s="1"/>
  <c r="AG32" i="8"/>
  <c r="AG46" i="8" s="1"/>
  <c r="AI33" i="8"/>
  <c r="AI47" i="8" s="1"/>
  <c r="AA35" i="8"/>
  <c r="AA49" i="8" s="1"/>
  <c r="AC36" i="8"/>
  <c r="AC50" i="8" s="1"/>
  <c r="AE37" i="8"/>
  <c r="AE51" i="8" s="1"/>
  <c r="AG38" i="8"/>
  <c r="AG52" i="8" s="1"/>
  <c r="AE30" i="8"/>
  <c r="AE44" i="8" s="1"/>
  <c r="AI32" i="8"/>
  <c r="AI46" i="8" s="1"/>
  <c r="AC35" i="8"/>
  <c r="AC49" i="8" s="1"/>
  <c r="AG37" i="8"/>
  <c r="AG51" i="8" s="1"/>
  <c r="AI31" i="8"/>
  <c r="AI45" i="8" s="1"/>
  <c r="AI37" i="8"/>
  <c r="AI51" i="8" s="1"/>
  <c r="AJ30" i="8"/>
  <c r="AJ44" i="8" s="1"/>
  <c r="AH35" i="8"/>
  <c r="AH49" i="8" s="1"/>
  <c r="AE33" i="8"/>
  <c r="AE47" i="8" s="1"/>
  <c r="AJ29" i="8"/>
  <c r="AJ43" i="8" s="1"/>
  <c r="AI34" i="8"/>
  <c r="AI48" i="8" s="1"/>
  <c r="AB29" i="8"/>
  <c r="AB43" i="8" s="1"/>
  <c r="AD30" i="8"/>
  <c r="AD44" i="8" s="1"/>
  <c r="AF31" i="8"/>
  <c r="AF45" i="8" s="1"/>
  <c r="AH32" i="8"/>
  <c r="AH46" i="8" s="1"/>
  <c r="AJ33" i="8"/>
  <c r="AJ47" i="8" s="1"/>
  <c r="AB35" i="8"/>
  <c r="AB49" i="8" s="1"/>
  <c r="AD36" i="8"/>
  <c r="AD50" i="8" s="1"/>
  <c r="AF37" i="8"/>
  <c r="AF51" i="8" s="1"/>
  <c r="AH38" i="8"/>
  <c r="AH52" i="8" s="1"/>
  <c r="AC29" i="8"/>
  <c r="AC43" i="8" s="1"/>
  <c r="AG31" i="8"/>
  <c r="AG45" i="8" s="1"/>
  <c r="AA34" i="8"/>
  <c r="AA48" i="8" s="1"/>
  <c r="AE36" i="8"/>
  <c r="AE50" i="8" s="1"/>
  <c r="AI38" i="8"/>
  <c r="AI52" i="8" s="1"/>
  <c r="AG30" i="8"/>
  <c r="AG44" i="8" s="1"/>
  <c r="AE35" i="8"/>
  <c r="AE49" i="8" s="1"/>
  <c r="AF34" i="8"/>
  <c r="AF48" i="8" s="1"/>
  <c r="AC32" i="8"/>
  <c r="AC46" i="8" s="1"/>
  <c r="AG34" i="8"/>
  <c r="AG48" i="8" s="1"/>
  <c r="AD32" i="8"/>
  <c r="AD46" i="8" s="1"/>
  <c r="AE32" i="8"/>
  <c r="AE46" i="8" s="1"/>
  <c r="AE38" i="8"/>
  <c r="AE52" i="8" s="1"/>
  <c r="AH33" i="8"/>
  <c r="AH47" i="8" s="1"/>
  <c r="AD37" i="8"/>
  <c r="AD51" i="8" s="1"/>
  <c r="AD29" i="8"/>
  <c r="AD43" i="8" s="1"/>
  <c r="AF30" i="8"/>
  <c r="AF44" i="8" s="1"/>
  <c r="AH31" i="8"/>
  <c r="AH45" i="8" s="1"/>
  <c r="AJ32" i="8"/>
  <c r="AJ46" i="8" s="1"/>
  <c r="AB34" i="8"/>
  <c r="AB48" i="8" s="1"/>
  <c r="AD35" i="8"/>
  <c r="AD49" i="8" s="1"/>
  <c r="AF36" i="8"/>
  <c r="AF50" i="8" s="1"/>
  <c r="AH37" i="8"/>
  <c r="AH51" i="8" s="1"/>
  <c r="AJ38" i="8"/>
  <c r="AJ52" i="8" s="1"/>
  <c r="AE29" i="8"/>
  <c r="AE43" i="8" s="1"/>
  <c r="AA33" i="8"/>
  <c r="AA47" i="8" s="1"/>
  <c r="AC34" i="8"/>
  <c r="AC48" i="8" s="1"/>
  <c r="AG36" i="8"/>
  <c r="AG50" i="8" s="1"/>
  <c r="AB32" i="8"/>
  <c r="AB46" i="8" s="1"/>
  <c r="AB38" i="8"/>
  <c r="AB52" i="8" s="1"/>
  <c r="AI29" i="8"/>
  <c r="AI43" i="8" s="1"/>
  <c r="AI35" i="8"/>
  <c r="AI49" i="8" s="1"/>
  <c r="AB31" i="8"/>
  <c r="AB45" i="8" s="1"/>
  <c r="AB37" i="8"/>
  <c r="AB51" i="8" s="1"/>
  <c r="AA30" i="8"/>
  <c r="AA44" i="8" s="1"/>
  <c r="AA36" i="8"/>
  <c r="AA50" i="8" s="1"/>
  <c r="AF32" i="8"/>
  <c r="AF46" i="8" s="1"/>
  <c r="AF38" i="8"/>
  <c r="AF52" i="8" s="1"/>
  <c r="AF29" i="8"/>
  <c r="AF43" i="8" s="1"/>
  <c r="AH30" i="8"/>
  <c r="AH44" i="8" s="1"/>
  <c r="AJ31" i="8"/>
  <c r="AJ45" i="8" s="1"/>
  <c r="AB33" i="8"/>
  <c r="AB47" i="8" s="1"/>
  <c r="AD34" i="8"/>
  <c r="AD48" i="8" s="1"/>
  <c r="AF35" i="8"/>
  <c r="AF49" i="8" s="1"/>
  <c r="AH36" i="8"/>
  <c r="AH50" i="8" s="1"/>
  <c r="AJ37" i="8"/>
  <c r="AJ51" i="8" s="1"/>
  <c r="AG29" i="8"/>
  <c r="AG43" i="8" s="1"/>
  <c r="AI30" i="8"/>
  <c r="AI44" i="8" s="1"/>
  <c r="AA32" i="8"/>
  <c r="AA46" i="8" s="1"/>
  <c r="AC33" i="8"/>
  <c r="AC47" i="8" s="1"/>
  <c r="AE34" i="8"/>
  <c r="AE48" i="8" s="1"/>
  <c r="AG35" i="8"/>
  <c r="AG49" i="8" s="1"/>
  <c r="AI36" i="8"/>
  <c r="AI50" i="8" s="1"/>
  <c r="AA38" i="8"/>
  <c r="AA52" i="8" s="1"/>
  <c r="AD33" i="8"/>
  <c r="AD47" i="8" s="1"/>
  <c r="AJ36" i="8"/>
  <c r="AJ50" i="8" s="1"/>
  <c r="AA31" i="8"/>
  <c r="AA45" i="8" s="1"/>
  <c r="AC38" i="8"/>
  <c r="AC52" i="8" s="1"/>
  <c r="AH34" i="8"/>
  <c r="AH48" i="8" s="1"/>
  <c r="AJ35" i="8"/>
  <c r="AJ49" i="8" s="1"/>
  <c r="AC31" i="8"/>
  <c r="AC45" i="8" s="1"/>
  <c r="AC37" i="8"/>
  <c r="AC51" i="8" s="1"/>
  <c r="AD31" i="8"/>
  <c r="AD45" i="8" s="1"/>
  <c r="AB36" i="8"/>
  <c r="AB50" i="8" s="1"/>
  <c r="AH29" i="8"/>
  <c r="AH43" i="8" s="1"/>
  <c r="AA37" i="8"/>
  <c r="AA51" i="8" s="1"/>
  <c r="AF33" i="8"/>
  <c r="AF47" i="8" s="1"/>
  <c r="AD38" i="8"/>
  <c r="AD52" i="8" s="1"/>
  <c r="AG33" i="8"/>
  <c r="AG47" i="8" s="1"/>
  <c r="AB30" i="8"/>
  <c r="AB44" i="8" s="1"/>
  <c r="AJ34" i="8"/>
  <c r="AJ48" i="8" s="1"/>
  <c r="AD16" i="8"/>
  <c r="AF17" i="8"/>
  <c r="AH18" i="8"/>
  <c r="AJ19" i="8"/>
  <c r="AB21" i="8"/>
  <c r="AD22" i="8"/>
  <c r="AF23" i="8"/>
  <c r="AH24" i="8"/>
  <c r="AJ25" i="8"/>
  <c r="AF16" i="8"/>
  <c r="AF22" i="8"/>
  <c r="AJ24" i="8"/>
  <c r="AI17" i="8"/>
  <c r="AC20" i="8"/>
  <c r="AG22" i="8"/>
  <c r="AA25" i="8"/>
  <c r="AJ17" i="8"/>
  <c r="AB19" i="8"/>
  <c r="AF21" i="8"/>
  <c r="AJ23" i="8"/>
  <c r="AI16" i="8"/>
  <c r="AC19" i="8"/>
  <c r="AG21" i="8"/>
  <c r="AA24" i="8"/>
  <c r="AC18" i="8"/>
  <c r="AA23" i="8"/>
  <c r="AD18" i="8"/>
  <c r="AH20" i="8"/>
  <c r="AB23" i="8"/>
  <c r="AF25" i="8"/>
  <c r="AA16" i="8"/>
  <c r="AG19" i="8"/>
  <c r="AA22" i="8"/>
  <c r="AE24" i="8"/>
  <c r="AD17" i="8"/>
  <c r="AF18" i="8"/>
  <c r="AJ20" i="8"/>
  <c r="AD23" i="8"/>
  <c r="AH25" i="8"/>
  <c r="AE17" i="8"/>
  <c r="AI19" i="8"/>
  <c r="AC22" i="8"/>
  <c r="AG24" i="8"/>
  <c r="AI25" i="8"/>
  <c r="AE16" i="8"/>
  <c r="AG17" i="8"/>
  <c r="AI18" i="8"/>
  <c r="AA20" i="8"/>
  <c r="AC21" i="8"/>
  <c r="AE22" i="8"/>
  <c r="AG23" i="8"/>
  <c r="AI24" i="8"/>
  <c r="AH17" i="8"/>
  <c r="AJ18" i="8"/>
  <c r="AB20" i="8"/>
  <c r="AD21" i="8"/>
  <c r="AH23" i="8"/>
  <c r="AG16" i="8"/>
  <c r="AA19" i="8"/>
  <c r="AE21" i="8"/>
  <c r="AI23" i="8"/>
  <c r="AH16" i="8"/>
  <c r="AD20" i="8"/>
  <c r="AH22" i="8"/>
  <c r="AB25" i="8"/>
  <c r="AA18" i="8"/>
  <c r="AE20" i="8"/>
  <c r="AI22" i="8"/>
  <c r="AC25" i="8"/>
  <c r="AA17" i="8"/>
  <c r="AI21" i="8"/>
  <c r="AE25" i="8"/>
  <c r="AJ16" i="8"/>
  <c r="AB18" i="8"/>
  <c r="AD19" i="8"/>
  <c r="AF20" i="8"/>
  <c r="AH21" i="8"/>
  <c r="AJ22" i="8"/>
  <c r="AB24" i="8"/>
  <c r="AD25" i="8"/>
  <c r="AE19" i="8"/>
  <c r="AG20" i="8"/>
  <c r="AC24" i="8"/>
  <c r="AB17" i="8"/>
  <c r="AF19" i="8"/>
  <c r="AJ21" i="8"/>
  <c r="AD24" i="8"/>
  <c r="AC17" i="8"/>
  <c r="AE18" i="8"/>
  <c r="AI20" i="8"/>
  <c r="AC23" i="8"/>
  <c r="AG25" i="8"/>
  <c r="AB16" i="8"/>
  <c r="AH19" i="8"/>
  <c r="AB22" i="8"/>
  <c r="AF24" i="8"/>
  <c r="AC16" i="8"/>
  <c r="AG18" i="8"/>
  <c r="AA21" i="8"/>
  <c r="AE23" i="8"/>
  <c r="AC26" i="8" l="1"/>
  <c r="AC42" i="8" s="1"/>
  <c r="AJ26" i="8"/>
  <c r="AJ42" i="8" s="1"/>
  <c r="AD26" i="8"/>
  <c r="AD42" i="8" s="1"/>
  <c r="AG26" i="8"/>
  <c r="AG42" i="8" s="1"/>
  <c r="AF26" i="8"/>
  <c r="AF42" i="8" s="1"/>
  <c r="AE26" i="8"/>
  <c r="AE42" i="8" s="1"/>
  <c r="AB26" i="8"/>
  <c r="AI26" i="8"/>
  <c r="AI42" i="8" s="1"/>
  <c r="AA26" i="8"/>
  <c r="AH26" i="8"/>
  <c r="AH42" i="8" s="1"/>
  <c r="AA42" i="8" l="1"/>
  <c r="AW35" i="8"/>
  <c r="AX35" i="8" s="1"/>
  <c r="AB42" i="8"/>
  <c r="AW36" i="8"/>
  <c r="AX36" i="8" s="1"/>
  <c r="N4" i="8"/>
  <c r="O4" i="8"/>
  <c r="P4" i="8"/>
  <c r="Q4" i="8"/>
  <c r="R4" i="8"/>
  <c r="S4" i="8"/>
  <c r="T4" i="8"/>
  <c r="U4" i="8"/>
  <c r="V4" i="8"/>
  <c r="W4" i="8"/>
  <c r="X4" i="8"/>
  <c r="N5" i="8"/>
  <c r="O5" i="8"/>
  <c r="P5" i="8"/>
  <c r="Q5" i="8"/>
  <c r="R5" i="8"/>
  <c r="S5" i="8"/>
  <c r="T5" i="8"/>
  <c r="U5" i="8"/>
  <c r="V5" i="8"/>
  <c r="W5" i="8"/>
  <c r="X5" i="8"/>
  <c r="N6" i="8"/>
  <c r="O6" i="8"/>
  <c r="P6" i="8"/>
  <c r="Q6" i="8"/>
  <c r="R6" i="8"/>
  <c r="S6" i="8"/>
  <c r="T6" i="8"/>
  <c r="U6" i="8"/>
  <c r="V6" i="8"/>
  <c r="W6" i="8"/>
  <c r="X6" i="8"/>
  <c r="N7" i="8"/>
  <c r="O7" i="8"/>
  <c r="P7" i="8"/>
  <c r="Q7" i="8"/>
  <c r="R7" i="8"/>
  <c r="S7" i="8"/>
  <c r="T7" i="8"/>
  <c r="U7" i="8"/>
  <c r="V7" i="8"/>
  <c r="W7" i="8"/>
  <c r="X7" i="8"/>
  <c r="N8" i="8"/>
  <c r="O8" i="8"/>
  <c r="P8" i="8"/>
  <c r="Q8" i="8"/>
  <c r="R8" i="8"/>
  <c r="S8" i="8"/>
  <c r="T8" i="8"/>
  <c r="U8" i="8"/>
  <c r="V8" i="8"/>
  <c r="W8" i="8"/>
  <c r="X8" i="8"/>
  <c r="N9" i="8"/>
  <c r="O9" i="8"/>
  <c r="P9" i="8"/>
  <c r="Q9" i="8"/>
  <c r="R9" i="8"/>
  <c r="S9" i="8"/>
  <c r="T9" i="8"/>
  <c r="U9" i="8"/>
  <c r="V9" i="8"/>
  <c r="W9" i="8"/>
  <c r="X9" i="8"/>
  <c r="N10" i="8"/>
  <c r="O10" i="8"/>
  <c r="P10" i="8"/>
  <c r="Q10" i="8"/>
  <c r="R10" i="8"/>
  <c r="S10" i="8"/>
  <c r="T10" i="8"/>
  <c r="U10" i="8"/>
  <c r="V10" i="8"/>
  <c r="W10" i="8"/>
  <c r="X10" i="8"/>
  <c r="N11" i="8"/>
  <c r="O11" i="8"/>
  <c r="P11" i="8"/>
  <c r="Q11" i="8"/>
  <c r="R11" i="8"/>
  <c r="S11" i="8"/>
  <c r="T11" i="8"/>
  <c r="U11" i="8"/>
  <c r="V11" i="8"/>
  <c r="W11" i="8"/>
  <c r="X11" i="8"/>
  <c r="N12" i="8"/>
  <c r="O12" i="8"/>
  <c r="P12" i="8"/>
  <c r="Q12" i="8"/>
  <c r="R12" i="8"/>
  <c r="S12" i="8"/>
  <c r="T12" i="8"/>
  <c r="U12" i="8"/>
  <c r="V12" i="8"/>
  <c r="W12" i="8"/>
  <c r="X12" i="8"/>
  <c r="N13" i="8"/>
  <c r="O13" i="8"/>
  <c r="P13" i="8"/>
  <c r="Q13" i="8"/>
  <c r="R13" i="8"/>
  <c r="S13" i="8"/>
  <c r="T13" i="8"/>
  <c r="U13" i="8"/>
  <c r="V13" i="8"/>
  <c r="W13" i="8"/>
  <c r="X13" i="8"/>
  <c r="N14" i="8"/>
  <c r="O14" i="8"/>
  <c r="P14" i="8"/>
  <c r="Q14" i="8"/>
  <c r="R14" i="8"/>
  <c r="S14" i="8"/>
  <c r="T14" i="8"/>
  <c r="U14" i="8"/>
  <c r="V14" i="8"/>
  <c r="W14" i="8"/>
  <c r="X14" i="8"/>
  <c r="N15" i="8"/>
  <c r="O15" i="8"/>
  <c r="P15" i="8"/>
  <c r="Q15" i="8"/>
  <c r="R15" i="8"/>
  <c r="S15" i="8"/>
  <c r="T15" i="8"/>
  <c r="U15" i="8"/>
  <c r="V15" i="8"/>
  <c r="W15" i="8"/>
  <c r="X15" i="8"/>
  <c r="N16" i="8"/>
  <c r="O16" i="8"/>
  <c r="P16" i="8"/>
  <c r="Q16" i="8"/>
  <c r="R16" i="8"/>
  <c r="S16" i="8"/>
  <c r="T16" i="8"/>
  <c r="U16" i="8"/>
  <c r="V16" i="8"/>
  <c r="W16" i="8"/>
  <c r="X16" i="8"/>
  <c r="N17" i="8"/>
  <c r="O17" i="8"/>
  <c r="P17" i="8"/>
  <c r="Q17" i="8"/>
  <c r="R17" i="8"/>
  <c r="S17" i="8"/>
  <c r="T17" i="8"/>
  <c r="U17" i="8"/>
  <c r="V17" i="8"/>
  <c r="W17" i="8"/>
  <c r="X17" i="8"/>
  <c r="N18" i="8"/>
  <c r="O18" i="8"/>
  <c r="P18" i="8"/>
  <c r="Q18" i="8"/>
  <c r="R18" i="8"/>
  <c r="S18" i="8"/>
  <c r="T18" i="8"/>
  <c r="U18" i="8"/>
  <c r="V18" i="8"/>
  <c r="W18" i="8"/>
  <c r="X18" i="8"/>
  <c r="N19" i="8"/>
  <c r="O19" i="8"/>
  <c r="P19" i="8"/>
  <c r="Q19" i="8"/>
  <c r="R19" i="8"/>
  <c r="S19" i="8"/>
  <c r="T19" i="8"/>
  <c r="U19" i="8"/>
  <c r="V19" i="8"/>
  <c r="W19" i="8"/>
  <c r="X19" i="8"/>
  <c r="N20" i="8"/>
  <c r="O20" i="8"/>
  <c r="P20" i="8"/>
  <c r="Q20" i="8"/>
  <c r="R20" i="8"/>
  <c r="S20" i="8"/>
  <c r="T20" i="8"/>
  <c r="U20" i="8"/>
  <c r="V20" i="8"/>
  <c r="W20" i="8"/>
  <c r="X20" i="8"/>
  <c r="N21" i="8"/>
  <c r="O21" i="8"/>
  <c r="P21" i="8"/>
  <c r="Q21" i="8"/>
  <c r="R21" i="8"/>
  <c r="S21" i="8"/>
  <c r="T21" i="8"/>
  <c r="U21" i="8"/>
  <c r="V21" i="8"/>
  <c r="W21" i="8"/>
  <c r="X21" i="8"/>
  <c r="N22" i="8"/>
  <c r="O22" i="8"/>
  <c r="P22" i="8"/>
  <c r="Q22" i="8"/>
  <c r="R22" i="8"/>
  <c r="S22" i="8"/>
  <c r="T22" i="8"/>
  <c r="U22" i="8"/>
  <c r="V22" i="8"/>
  <c r="W22" i="8"/>
  <c r="X22" i="8"/>
  <c r="N23" i="8"/>
  <c r="O23" i="8"/>
  <c r="P23" i="8"/>
  <c r="Q23" i="8"/>
  <c r="R23" i="8"/>
  <c r="S23" i="8"/>
  <c r="T23" i="8"/>
  <c r="U23" i="8"/>
  <c r="V23" i="8"/>
  <c r="W23" i="8"/>
  <c r="X23" i="8"/>
  <c r="N24" i="8"/>
  <c r="O24" i="8"/>
  <c r="P24" i="8"/>
  <c r="Q24" i="8"/>
  <c r="R24" i="8"/>
  <c r="S24" i="8"/>
  <c r="T24" i="8"/>
  <c r="U24" i="8"/>
  <c r="V24" i="8"/>
  <c r="W24" i="8"/>
  <c r="X24" i="8"/>
  <c r="N25" i="8"/>
  <c r="O25" i="8"/>
  <c r="P25" i="8"/>
  <c r="Q25" i="8"/>
  <c r="R25" i="8"/>
  <c r="S25" i="8"/>
  <c r="T25" i="8"/>
  <c r="U25" i="8"/>
  <c r="V25" i="8"/>
  <c r="W25" i="8"/>
  <c r="X25" i="8"/>
  <c r="N26" i="8"/>
  <c r="O26" i="8"/>
  <c r="P26" i="8"/>
  <c r="Q26" i="8"/>
  <c r="R26" i="8"/>
  <c r="S26" i="8"/>
  <c r="T26" i="8"/>
  <c r="U26" i="8"/>
  <c r="V26" i="8"/>
  <c r="W26" i="8"/>
  <c r="X26" i="8"/>
  <c r="N27" i="8"/>
  <c r="O27" i="8"/>
  <c r="P27" i="8"/>
  <c r="Q27" i="8"/>
  <c r="R27" i="8"/>
  <c r="S27" i="8"/>
  <c r="T27" i="8"/>
  <c r="U27" i="8"/>
  <c r="V27" i="8"/>
  <c r="W27" i="8"/>
  <c r="X27" i="8"/>
  <c r="N28" i="8"/>
  <c r="O28" i="8"/>
  <c r="P28" i="8"/>
  <c r="Q28" i="8"/>
  <c r="R28" i="8"/>
  <c r="S28" i="8"/>
  <c r="T28" i="8"/>
  <c r="U28" i="8"/>
  <c r="V28" i="8"/>
  <c r="W28" i="8"/>
  <c r="X28" i="8"/>
  <c r="N29" i="8"/>
  <c r="O29" i="8"/>
  <c r="P29" i="8"/>
  <c r="Q29" i="8"/>
  <c r="R29" i="8"/>
  <c r="S29" i="8"/>
  <c r="T29" i="8"/>
  <c r="U29" i="8"/>
  <c r="V29" i="8"/>
  <c r="W29" i="8"/>
  <c r="X29" i="8"/>
  <c r="N30" i="8"/>
  <c r="O30" i="8"/>
  <c r="P30" i="8"/>
  <c r="Q30" i="8"/>
  <c r="R30" i="8"/>
  <c r="S30" i="8"/>
  <c r="T30" i="8"/>
  <c r="U30" i="8"/>
  <c r="V30" i="8"/>
  <c r="W30" i="8"/>
  <c r="X30" i="8"/>
  <c r="N31" i="8"/>
  <c r="O31" i="8"/>
  <c r="P31" i="8"/>
  <c r="Q31" i="8"/>
  <c r="R31" i="8"/>
  <c r="S31" i="8"/>
  <c r="T31" i="8"/>
  <c r="U31" i="8"/>
  <c r="V31" i="8"/>
  <c r="W31" i="8"/>
  <c r="X31" i="8"/>
  <c r="N32" i="8"/>
  <c r="O32" i="8"/>
  <c r="P32" i="8"/>
  <c r="Q32" i="8"/>
  <c r="R32" i="8"/>
  <c r="S32" i="8"/>
  <c r="T32" i="8"/>
  <c r="U32" i="8"/>
  <c r="V32" i="8"/>
  <c r="W32" i="8"/>
  <c r="X32" i="8"/>
  <c r="N33" i="8"/>
  <c r="O33" i="8"/>
  <c r="P33" i="8"/>
  <c r="Q33" i="8"/>
  <c r="R33" i="8"/>
  <c r="S33" i="8"/>
  <c r="T33" i="8"/>
  <c r="U33" i="8"/>
  <c r="V33" i="8"/>
  <c r="W33" i="8"/>
  <c r="X33" i="8"/>
  <c r="N34" i="8"/>
  <c r="O34" i="8"/>
  <c r="P34" i="8"/>
  <c r="Q34" i="8"/>
  <c r="R34" i="8"/>
  <c r="S34" i="8"/>
  <c r="T34" i="8"/>
  <c r="U34" i="8"/>
  <c r="V34" i="8"/>
  <c r="W34" i="8"/>
  <c r="X34" i="8"/>
  <c r="N35" i="8"/>
  <c r="O35" i="8"/>
  <c r="P35" i="8"/>
  <c r="Q35" i="8"/>
  <c r="R35" i="8"/>
  <c r="S35" i="8"/>
  <c r="T35" i="8"/>
  <c r="U35" i="8"/>
  <c r="V35" i="8"/>
  <c r="W35" i="8"/>
  <c r="X35" i="8"/>
  <c r="N36" i="8"/>
  <c r="O36" i="8"/>
  <c r="P36" i="8"/>
  <c r="Q36" i="8"/>
  <c r="R36" i="8"/>
  <c r="S36" i="8"/>
  <c r="T36" i="8"/>
  <c r="U36" i="8"/>
  <c r="V36" i="8"/>
  <c r="W36" i="8"/>
  <c r="X36" i="8"/>
  <c r="N37" i="8"/>
  <c r="O37" i="8"/>
  <c r="P37" i="8"/>
  <c r="Q37" i="8"/>
  <c r="R37" i="8"/>
  <c r="S37" i="8"/>
  <c r="T37" i="8"/>
  <c r="U37" i="8"/>
  <c r="V37" i="8"/>
  <c r="W37" i="8"/>
  <c r="X37" i="8"/>
  <c r="N38" i="8"/>
  <c r="O38" i="8"/>
  <c r="P38" i="8"/>
  <c r="Q38" i="8"/>
  <c r="R38" i="8"/>
  <c r="S38" i="8"/>
  <c r="T38" i="8"/>
  <c r="U38" i="8"/>
  <c r="V38" i="8"/>
  <c r="W38" i="8"/>
  <c r="X38" i="8"/>
  <c r="N39" i="8"/>
  <c r="O39" i="8"/>
  <c r="P39" i="8"/>
  <c r="Q39" i="8"/>
  <c r="R39" i="8"/>
  <c r="S39" i="8"/>
  <c r="T39" i="8"/>
  <c r="U39" i="8"/>
  <c r="V39" i="8"/>
  <c r="W39" i="8"/>
  <c r="X39" i="8"/>
  <c r="N40" i="8"/>
  <c r="O40" i="8"/>
  <c r="P40" i="8"/>
  <c r="Q40" i="8"/>
  <c r="R40" i="8"/>
  <c r="S40" i="8"/>
  <c r="T40" i="8"/>
  <c r="U40" i="8"/>
  <c r="V40" i="8"/>
  <c r="W40" i="8"/>
  <c r="X40" i="8"/>
  <c r="N41" i="8"/>
  <c r="O41" i="8"/>
  <c r="P41" i="8"/>
  <c r="Q41" i="8"/>
  <c r="R41" i="8"/>
  <c r="S41" i="8"/>
  <c r="T41" i="8"/>
  <c r="U41" i="8"/>
  <c r="V41" i="8"/>
  <c r="W41" i="8"/>
  <c r="X41" i="8"/>
  <c r="N42" i="8"/>
  <c r="O42" i="8"/>
  <c r="P42" i="8"/>
  <c r="Q42" i="8"/>
  <c r="R42" i="8"/>
  <c r="S42" i="8"/>
  <c r="T42" i="8"/>
  <c r="U42" i="8"/>
  <c r="V42" i="8"/>
  <c r="W42" i="8"/>
  <c r="X42" i="8"/>
  <c r="N43" i="8"/>
  <c r="O43" i="8"/>
  <c r="P43" i="8"/>
  <c r="Q43" i="8"/>
  <c r="R43" i="8"/>
  <c r="S43" i="8"/>
  <c r="T43" i="8"/>
  <c r="U43" i="8"/>
  <c r="V43" i="8"/>
  <c r="W43" i="8"/>
  <c r="X43" i="8"/>
  <c r="N44" i="8"/>
  <c r="O44" i="8"/>
  <c r="P44" i="8"/>
  <c r="Q44" i="8"/>
  <c r="R44" i="8"/>
  <c r="S44" i="8"/>
  <c r="T44" i="8"/>
  <c r="U44" i="8"/>
  <c r="V44" i="8"/>
  <c r="W44" i="8"/>
  <c r="X44" i="8"/>
  <c r="N45" i="8"/>
  <c r="O45" i="8"/>
  <c r="P45" i="8"/>
  <c r="Q45" i="8"/>
  <c r="R45" i="8"/>
  <c r="S45" i="8"/>
  <c r="T45" i="8"/>
  <c r="U45" i="8"/>
  <c r="V45" i="8"/>
  <c r="W45" i="8"/>
  <c r="X45" i="8"/>
  <c r="N46" i="8"/>
  <c r="O46" i="8"/>
  <c r="P46" i="8"/>
  <c r="Q46" i="8"/>
  <c r="R46" i="8"/>
  <c r="S46" i="8"/>
  <c r="T46" i="8"/>
  <c r="U46" i="8"/>
  <c r="V46" i="8"/>
  <c r="W46" i="8"/>
  <c r="X46" i="8"/>
  <c r="N47" i="8"/>
  <c r="O47" i="8"/>
  <c r="P47" i="8"/>
  <c r="Q47" i="8"/>
  <c r="R47" i="8"/>
  <c r="S47" i="8"/>
  <c r="T47" i="8"/>
  <c r="U47" i="8"/>
  <c r="V47" i="8"/>
  <c r="W47" i="8"/>
  <c r="X47" i="8"/>
  <c r="N48" i="8"/>
  <c r="O48" i="8"/>
  <c r="P48" i="8"/>
  <c r="Q48" i="8"/>
  <c r="R48" i="8"/>
  <c r="S48" i="8"/>
  <c r="T48" i="8"/>
  <c r="U48" i="8"/>
  <c r="V48" i="8"/>
  <c r="W48" i="8"/>
  <c r="X48" i="8"/>
  <c r="N49" i="8"/>
  <c r="O49" i="8"/>
  <c r="P49" i="8"/>
  <c r="Q49" i="8"/>
  <c r="R49" i="8"/>
  <c r="S49" i="8"/>
  <c r="T49" i="8"/>
  <c r="U49" i="8"/>
  <c r="V49" i="8"/>
  <c r="W49" i="8"/>
  <c r="X49" i="8"/>
  <c r="N50" i="8"/>
  <c r="O50" i="8"/>
  <c r="P50" i="8"/>
  <c r="Q50" i="8"/>
  <c r="R50" i="8"/>
  <c r="S50" i="8"/>
  <c r="T50" i="8"/>
  <c r="U50" i="8"/>
  <c r="V50" i="8"/>
  <c r="W50" i="8"/>
  <c r="X50" i="8"/>
  <c r="N51" i="8"/>
  <c r="O51" i="8"/>
  <c r="P51" i="8"/>
  <c r="Q51" i="8"/>
  <c r="R51" i="8"/>
  <c r="S51" i="8"/>
  <c r="T51" i="8"/>
  <c r="U51" i="8"/>
  <c r="V51" i="8"/>
  <c r="W51" i="8"/>
  <c r="X51" i="8"/>
  <c r="N52" i="8"/>
  <c r="O52" i="8"/>
  <c r="P52" i="8"/>
  <c r="Q52" i="8"/>
  <c r="R52" i="8"/>
  <c r="S52" i="8"/>
  <c r="T52" i="8"/>
  <c r="U52" i="8"/>
  <c r="V52" i="8"/>
  <c r="W52" i="8"/>
  <c r="X52" i="8"/>
  <c r="N53" i="8"/>
  <c r="O53" i="8"/>
  <c r="P53" i="8"/>
  <c r="Q53" i="8"/>
  <c r="R53" i="8"/>
  <c r="S53" i="8"/>
  <c r="T53" i="8"/>
  <c r="U53" i="8"/>
  <c r="V53" i="8"/>
  <c r="W53" i="8"/>
  <c r="X53" i="8"/>
  <c r="N54" i="8"/>
  <c r="O54" i="8"/>
  <c r="P54" i="8"/>
  <c r="Q54" i="8"/>
  <c r="R54" i="8"/>
  <c r="S54" i="8"/>
  <c r="T54" i="8"/>
  <c r="U54" i="8"/>
  <c r="V54" i="8"/>
  <c r="W54" i="8"/>
  <c r="X54" i="8"/>
  <c r="N55" i="8"/>
  <c r="O55" i="8"/>
  <c r="P55" i="8"/>
  <c r="Q55" i="8"/>
  <c r="R55" i="8"/>
  <c r="S55" i="8"/>
  <c r="T55" i="8"/>
  <c r="U55" i="8"/>
  <c r="V55" i="8"/>
  <c r="W55" i="8"/>
  <c r="X55" i="8"/>
  <c r="N56" i="8"/>
  <c r="O56" i="8"/>
  <c r="P56" i="8"/>
  <c r="Q56" i="8"/>
  <c r="R56" i="8"/>
  <c r="S56" i="8"/>
  <c r="T56" i="8"/>
  <c r="U56" i="8"/>
  <c r="V56" i="8"/>
  <c r="W56" i="8"/>
  <c r="X56" i="8"/>
  <c r="N57" i="8"/>
  <c r="O57" i="8"/>
  <c r="P57" i="8"/>
  <c r="Q57" i="8"/>
  <c r="R57" i="8"/>
  <c r="S57" i="8"/>
  <c r="T57" i="8"/>
  <c r="U57" i="8"/>
  <c r="V57" i="8"/>
  <c r="W57" i="8"/>
  <c r="X57" i="8"/>
  <c r="N58" i="8"/>
  <c r="O58" i="8"/>
  <c r="P58" i="8"/>
  <c r="Q58" i="8"/>
  <c r="R58" i="8"/>
  <c r="S58" i="8"/>
  <c r="T58" i="8"/>
  <c r="U58" i="8"/>
  <c r="V58" i="8"/>
  <c r="W58" i="8"/>
  <c r="X58" i="8"/>
  <c r="N59" i="8"/>
  <c r="O59" i="8"/>
  <c r="P59" i="8"/>
  <c r="Q59" i="8"/>
  <c r="R59" i="8"/>
  <c r="S59" i="8"/>
  <c r="T59" i="8"/>
  <c r="U59" i="8"/>
  <c r="V59" i="8"/>
  <c r="W59" i="8"/>
  <c r="X59" i="8"/>
  <c r="N60" i="8"/>
  <c r="O60" i="8"/>
  <c r="P60" i="8"/>
  <c r="Q60" i="8"/>
  <c r="R60" i="8"/>
  <c r="S60" i="8"/>
  <c r="T60" i="8"/>
  <c r="U60" i="8"/>
  <c r="V60" i="8"/>
  <c r="W60" i="8"/>
  <c r="X60" i="8"/>
  <c r="N61" i="8"/>
  <c r="O61" i="8"/>
  <c r="P61" i="8"/>
  <c r="Q61" i="8"/>
  <c r="R61" i="8"/>
  <c r="S61" i="8"/>
  <c r="T61" i="8"/>
  <c r="U61" i="8"/>
  <c r="V61" i="8"/>
  <c r="W61" i="8"/>
  <c r="X61" i="8"/>
  <c r="N62" i="8"/>
  <c r="O62" i="8"/>
  <c r="P62" i="8"/>
  <c r="Q62" i="8"/>
  <c r="R62" i="8"/>
  <c r="S62" i="8"/>
  <c r="T62" i="8"/>
  <c r="U62" i="8"/>
  <c r="V62" i="8"/>
  <c r="W62" i="8"/>
  <c r="X62" i="8"/>
  <c r="N63" i="8"/>
  <c r="O63" i="8"/>
  <c r="P63" i="8"/>
  <c r="Q63" i="8"/>
  <c r="R63" i="8"/>
  <c r="S63" i="8"/>
  <c r="T63" i="8"/>
  <c r="U63" i="8"/>
  <c r="V63" i="8"/>
  <c r="W63" i="8"/>
  <c r="X63" i="8"/>
  <c r="N64" i="8"/>
  <c r="O64" i="8"/>
  <c r="P64" i="8"/>
  <c r="Q64" i="8"/>
  <c r="R64" i="8"/>
  <c r="S64" i="8"/>
  <c r="T64" i="8"/>
  <c r="U64" i="8"/>
  <c r="V64" i="8"/>
  <c r="W64" i="8"/>
  <c r="X64" i="8"/>
  <c r="N65" i="8"/>
  <c r="O65" i="8"/>
  <c r="P65" i="8"/>
  <c r="Q65" i="8"/>
  <c r="R65" i="8"/>
  <c r="S65" i="8"/>
  <c r="T65" i="8"/>
  <c r="U65" i="8"/>
  <c r="V65" i="8"/>
  <c r="W65" i="8"/>
  <c r="X65" i="8"/>
  <c r="N66" i="8"/>
  <c r="O66" i="8"/>
  <c r="P66" i="8"/>
  <c r="Q66" i="8"/>
  <c r="R66" i="8"/>
  <c r="S66" i="8"/>
  <c r="T66" i="8"/>
  <c r="U66" i="8"/>
  <c r="V66" i="8"/>
  <c r="W66" i="8"/>
  <c r="X66" i="8"/>
  <c r="N67" i="8"/>
  <c r="O67" i="8"/>
  <c r="P67" i="8"/>
  <c r="Q67" i="8"/>
  <c r="R67" i="8"/>
  <c r="S67" i="8"/>
  <c r="T67" i="8"/>
  <c r="U67" i="8"/>
  <c r="V67" i="8"/>
  <c r="W67" i="8"/>
  <c r="X67" i="8"/>
  <c r="N68" i="8"/>
  <c r="O68" i="8"/>
  <c r="P68" i="8"/>
  <c r="Q68" i="8"/>
  <c r="R68" i="8"/>
  <c r="S68" i="8"/>
  <c r="T68" i="8"/>
  <c r="U68" i="8"/>
  <c r="V68" i="8"/>
  <c r="W68" i="8"/>
  <c r="X68" i="8"/>
  <c r="N69" i="8"/>
  <c r="O69" i="8"/>
  <c r="P69" i="8"/>
  <c r="Q69" i="8"/>
  <c r="R69" i="8"/>
  <c r="S69" i="8"/>
  <c r="T69" i="8"/>
  <c r="U69" i="8"/>
  <c r="V69" i="8"/>
  <c r="W69" i="8"/>
  <c r="X69" i="8"/>
  <c r="N70" i="8"/>
  <c r="O70" i="8"/>
  <c r="P70" i="8"/>
  <c r="Q70" i="8"/>
  <c r="R70" i="8"/>
  <c r="S70" i="8"/>
  <c r="T70" i="8"/>
  <c r="U70" i="8"/>
  <c r="V70" i="8"/>
  <c r="W70" i="8"/>
  <c r="X70" i="8"/>
  <c r="N71" i="8"/>
  <c r="O71" i="8"/>
  <c r="P71" i="8"/>
  <c r="Q71" i="8"/>
  <c r="R71" i="8"/>
  <c r="S71" i="8"/>
  <c r="T71" i="8"/>
  <c r="U71" i="8"/>
  <c r="V71" i="8"/>
  <c r="W71" i="8"/>
  <c r="X71" i="8"/>
  <c r="N72" i="8"/>
  <c r="O72" i="8"/>
  <c r="P72" i="8"/>
  <c r="Q72" i="8"/>
  <c r="R72" i="8"/>
  <c r="S72" i="8"/>
  <c r="T72" i="8"/>
  <c r="U72" i="8"/>
  <c r="V72" i="8"/>
  <c r="W72" i="8"/>
  <c r="X72" i="8"/>
  <c r="N73" i="8"/>
  <c r="O73" i="8"/>
  <c r="P73" i="8"/>
  <c r="Q73" i="8"/>
  <c r="R73" i="8"/>
  <c r="S73" i="8"/>
  <c r="T73" i="8"/>
  <c r="U73" i="8"/>
  <c r="V73" i="8"/>
  <c r="W73" i="8"/>
  <c r="X73" i="8"/>
  <c r="N74" i="8"/>
  <c r="O74" i="8"/>
  <c r="P74" i="8"/>
  <c r="Q74" i="8"/>
  <c r="R74" i="8"/>
  <c r="S74" i="8"/>
  <c r="T74" i="8"/>
  <c r="U74" i="8"/>
  <c r="V74" i="8"/>
  <c r="W74" i="8"/>
  <c r="X74" i="8"/>
  <c r="N75" i="8"/>
  <c r="O75" i="8"/>
  <c r="P75" i="8"/>
  <c r="Q75" i="8"/>
  <c r="R75" i="8"/>
  <c r="S75" i="8"/>
  <c r="T75" i="8"/>
  <c r="U75" i="8"/>
  <c r="V75" i="8"/>
  <c r="W75" i="8"/>
  <c r="X75" i="8"/>
  <c r="N76" i="8"/>
  <c r="O76" i="8"/>
  <c r="P76" i="8"/>
  <c r="Q76" i="8"/>
  <c r="R76" i="8"/>
  <c r="S76" i="8"/>
  <c r="T76" i="8"/>
  <c r="U76" i="8"/>
  <c r="V76" i="8"/>
  <c r="W76" i="8"/>
  <c r="X76" i="8"/>
  <c r="N77" i="8"/>
  <c r="O77" i="8"/>
  <c r="P77" i="8"/>
  <c r="Q77" i="8"/>
  <c r="R77" i="8"/>
  <c r="S77" i="8"/>
  <c r="T77" i="8"/>
  <c r="U77" i="8"/>
  <c r="V77" i="8"/>
  <c r="W77" i="8"/>
  <c r="X77" i="8"/>
  <c r="N78" i="8"/>
  <c r="O78" i="8"/>
  <c r="P78" i="8"/>
  <c r="Q78" i="8"/>
  <c r="R78" i="8"/>
  <c r="S78" i="8"/>
  <c r="T78" i="8"/>
  <c r="U78" i="8"/>
  <c r="V78" i="8"/>
  <c r="W78" i="8"/>
  <c r="X78" i="8"/>
  <c r="N79" i="8"/>
  <c r="O79" i="8"/>
  <c r="P79" i="8"/>
  <c r="Q79" i="8"/>
  <c r="R79" i="8"/>
  <c r="S79" i="8"/>
  <c r="T79" i="8"/>
  <c r="U79" i="8"/>
  <c r="V79" i="8"/>
  <c r="W79" i="8"/>
  <c r="X79" i="8"/>
  <c r="N80" i="8"/>
  <c r="O80" i="8"/>
  <c r="P80" i="8"/>
  <c r="Q80" i="8"/>
  <c r="R80" i="8"/>
  <c r="S80" i="8"/>
  <c r="T80" i="8"/>
  <c r="U80" i="8"/>
  <c r="V80" i="8"/>
  <c r="W80" i="8"/>
  <c r="X80" i="8"/>
  <c r="N81" i="8"/>
  <c r="O81" i="8"/>
  <c r="P81" i="8"/>
  <c r="Q81" i="8"/>
  <c r="R81" i="8"/>
  <c r="S81" i="8"/>
  <c r="T81" i="8"/>
  <c r="U81" i="8"/>
  <c r="V81" i="8"/>
  <c r="W81" i="8"/>
  <c r="X81" i="8"/>
  <c r="N82" i="8"/>
  <c r="O82" i="8"/>
  <c r="P82" i="8"/>
  <c r="Q82" i="8"/>
  <c r="R82" i="8"/>
  <c r="S82" i="8"/>
  <c r="T82" i="8"/>
  <c r="U82" i="8"/>
  <c r="V82" i="8"/>
  <c r="W82" i="8"/>
  <c r="X82" i="8"/>
  <c r="N83" i="8"/>
  <c r="O83" i="8"/>
  <c r="P83" i="8"/>
  <c r="Q83" i="8"/>
  <c r="R83" i="8"/>
  <c r="S83" i="8"/>
  <c r="T83" i="8"/>
  <c r="U83" i="8"/>
  <c r="V83" i="8"/>
  <c r="W83" i="8"/>
  <c r="X83" i="8"/>
  <c r="N84" i="8"/>
  <c r="O84" i="8"/>
  <c r="P84" i="8"/>
  <c r="Q84" i="8"/>
  <c r="R84" i="8"/>
  <c r="S84" i="8"/>
  <c r="T84" i="8"/>
  <c r="U84" i="8"/>
  <c r="V84" i="8"/>
  <c r="W84" i="8"/>
  <c r="X84" i="8"/>
  <c r="N85" i="8"/>
  <c r="O85" i="8"/>
  <c r="P85" i="8"/>
  <c r="Q85" i="8"/>
  <c r="R85" i="8"/>
  <c r="S85" i="8"/>
  <c r="T85" i="8"/>
  <c r="U85" i="8"/>
  <c r="V85" i="8"/>
  <c r="W85" i="8"/>
  <c r="X85" i="8"/>
  <c r="N86" i="8"/>
  <c r="O86" i="8"/>
  <c r="P86" i="8"/>
  <c r="Q86" i="8"/>
  <c r="R86" i="8"/>
  <c r="S86" i="8"/>
  <c r="T86" i="8"/>
  <c r="U86" i="8"/>
  <c r="V86" i="8"/>
  <c r="W86" i="8"/>
  <c r="X86" i="8"/>
  <c r="N87" i="8"/>
  <c r="O87" i="8"/>
  <c r="P87" i="8"/>
  <c r="Q87" i="8"/>
  <c r="R87" i="8"/>
  <c r="S87" i="8"/>
  <c r="T87" i="8"/>
  <c r="U87" i="8"/>
  <c r="V87" i="8"/>
  <c r="W87" i="8"/>
  <c r="X87" i="8"/>
  <c r="N88" i="8"/>
  <c r="O88" i="8"/>
  <c r="P88" i="8"/>
  <c r="Q88" i="8"/>
  <c r="R88" i="8"/>
  <c r="S88" i="8"/>
  <c r="T88" i="8"/>
  <c r="U88" i="8"/>
  <c r="V88" i="8"/>
  <c r="W88" i="8"/>
  <c r="X88" i="8"/>
  <c r="N89" i="8"/>
  <c r="O89" i="8"/>
  <c r="P89" i="8"/>
  <c r="Q89" i="8"/>
  <c r="R89" i="8"/>
  <c r="S89" i="8"/>
  <c r="T89" i="8"/>
  <c r="U89" i="8"/>
  <c r="V89" i="8"/>
  <c r="W89" i="8"/>
  <c r="X89" i="8"/>
  <c r="N90" i="8"/>
  <c r="O90" i="8"/>
  <c r="P90" i="8"/>
  <c r="Q90" i="8"/>
  <c r="R90" i="8"/>
  <c r="S90" i="8"/>
  <c r="T90" i="8"/>
  <c r="U90" i="8"/>
  <c r="V90" i="8"/>
  <c r="W90" i="8"/>
  <c r="X90" i="8"/>
  <c r="N91" i="8"/>
  <c r="O91" i="8"/>
  <c r="P91" i="8"/>
  <c r="Q91" i="8"/>
  <c r="R91" i="8"/>
  <c r="S91" i="8"/>
  <c r="T91" i="8"/>
  <c r="U91" i="8"/>
  <c r="V91" i="8"/>
  <c r="W91" i="8"/>
  <c r="X91" i="8"/>
  <c r="N92" i="8"/>
  <c r="O92" i="8"/>
  <c r="P92" i="8"/>
  <c r="Q92" i="8"/>
  <c r="R92" i="8"/>
  <c r="S92" i="8"/>
  <c r="T92" i="8"/>
  <c r="U92" i="8"/>
  <c r="V92" i="8"/>
  <c r="W92" i="8"/>
  <c r="X92" i="8"/>
  <c r="N93" i="8"/>
  <c r="O93" i="8"/>
  <c r="P93" i="8"/>
  <c r="Q93" i="8"/>
  <c r="R93" i="8"/>
  <c r="S93" i="8"/>
  <c r="T93" i="8"/>
  <c r="U93" i="8"/>
  <c r="V93" i="8"/>
  <c r="W93" i="8"/>
  <c r="X93" i="8"/>
  <c r="N94" i="8"/>
  <c r="O94" i="8"/>
  <c r="P94" i="8"/>
  <c r="Q94" i="8"/>
  <c r="R94" i="8"/>
  <c r="S94" i="8"/>
  <c r="T94" i="8"/>
  <c r="U94" i="8"/>
  <c r="V94" i="8"/>
  <c r="W94" i="8"/>
  <c r="X94" i="8"/>
  <c r="N95" i="8"/>
  <c r="O95" i="8"/>
  <c r="P95" i="8"/>
  <c r="Q95" i="8"/>
  <c r="R95" i="8"/>
  <c r="S95" i="8"/>
  <c r="T95" i="8"/>
  <c r="U95" i="8"/>
  <c r="V95" i="8"/>
  <c r="W95" i="8"/>
  <c r="X95" i="8"/>
  <c r="N96" i="8"/>
  <c r="O96" i="8"/>
  <c r="P96" i="8"/>
  <c r="Q96" i="8"/>
  <c r="R96" i="8"/>
  <c r="S96" i="8"/>
  <c r="T96" i="8"/>
  <c r="U96" i="8"/>
  <c r="V96" i="8"/>
  <c r="W96" i="8"/>
  <c r="X96" i="8"/>
  <c r="N97" i="8"/>
  <c r="O97" i="8"/>
  <c r="P97" i="8"/>
  <c r="Q97" i="8"/>
  <c r="R97" i="8"/>
  <c r="S97" i="8"/>
  <c r="T97" i="8"/>
  <c r="U97" i="8"/>
  <c r="V97" i="8"/>
  <c r="W97" i="8"/>
  <c r="X97" i="8"/>
  <c r="N98" i="8"/>
  <c r="O98" i="8"/>
  <c r="P98" i="8"/>
  <c r="Q98" i="8"/>
  <c r="R98" i="8"/>
  <c r="S98" i="8"/>
  <c r="T98" i="8"/>
  <c r="U98" i="8"/>
  <c r="V98" i="8"/>
  <c r="W98" i="8"/>
  <c r="X98" i="8"/>
  <c r="N99" i="8"/>
  <c r="O99" i="8"/>
  <c r="P99" i="8"/>
  <c r="Q99" i="8"/>
  <c r="R99" i="8"/>
  <c r="S99" i="8"/>
  <c r="T99" i="8"/>
  <c r="U99" i="8"/>
  <c r="V99" i="8"/>
  <c r="W99" i="8"/>
  <c r="X99" i="8"/>
  <c r="N100" i="8"/>
  <c r="O100" i="8"/>
  <c r="P100" i="8"/>
  <c r="Q100" i="8"/>
  <c r="R100" i="8"/>
  <c r="S100" i="8"/>
  <c r="T100" i="8"/>
  <c r="U100" i="8"/>
  <c r="V100" i="8"/>
  <c r="W100" i="8"/>
  <c r="X100" i="8"/>
  <c r="N101" i="8"/>
  <c r="O101" i="8"/>
  <c r="P101" i="8"/>
  <c r="Q101" i="8"/>
  <c r="R101" i="8"/>
  <c r="S101" i="8"/>
  <c r="T101" i="8"/>
  <c r="U101" i="8"/>
  <c r="V101" i="8"/>
  <c r="W101" i="8"/>
  <c r="X101" i="8"/>
  <c r="N102" i="8"/>
  <c r="O102" i="8"/>
  <c r="P102" i="8"/>
  <c r="Q102" i="8"/>
  <c r="R102" i="8"/>
  <c r="S102" i="8"/>
  <c r="T102" i="8"/>
  <c r="U102" i="8"/>
  <c r="V102" i="8"/>
  <c r="W102" i="8"/>
  <c r="X102" i="8"/>
  <c r="N103" i="8"/>
  <c r="O103" i="8"/>
  <c r="P103" i="8"/>
  <c r="Q103" i="8"/>
  <c r="R103" i="8"/>
  <c r="S103" i="8"/>
  <c r="T103" i="8"/>
  <c r="U103" i="8"/>
  <c r="V103" i="8"/>
  <c r="W103" i="8"/>
  <c r="X103" i="8"/>
  <c r="N104" i="8"/>
  <c r="O104" i="8"/>
  <c r="P104" i="8"/>
  <c r="Q104" i="8"/>
  <c r="R104" i="8"/>
  <c r="S104" i="8"/>
  <c r="T104" i="8"/>
  <c r="U104" i="8"/>
  <c r="V104" i="8"/>
  <c r="W104" i="8"/>
  <c r="X104" i="8"/>
  <c r="N105" i="8"/>
  <c r="O105" i="8"/>
  <c r="P105" i="8"/>
  <c r="Q105" i="8"/>
  <c r="R105" i="8"/>
  <c r="S105" i="8"/>
  <c r="T105" i="8"/>
  <c r="U105" i="8"/>
  <c r="V105" i="8"/>
  <c r="W105" i="8"/>
  <c r="X105" i="8"/>
  <c r="N106" i="8"/>
  <c r="O106" i="8"/>
  <c r="P106" i="8"/>
  <c r="Q106" i="8"/>
  <c r="R106" i="8"/>
  <c r="S106" i="8"/>
  <c r="T106" i="8"/>
  <c r="U106" i="8"/>
  <c r="V106" i="8"/>
  <c r="W106" i="8"/>
  <c r="X106" i="8"/>
  <c r="N107" i="8"/>
  <c r="O107" i="8"/>
  <c r="P107" i="8"/>
  <c r="Q107" i="8"/>
  <c r="R107" i="8"/>
  <c r="S107" i="8"/>
  <c r="T107" i="8"/>
  <c r="U107" i="8"/>
  <c r="V107" i="8"/>
  <c r="W107" i="8"/>
  <c r="X107" i="8"/>
  <c r="N108" i="8"/>
  <c r="O108" i="8"/>
  <c r="P108" i="8"/>
  <c r="Q108" i="8"/>
  <c r="R108" i="8"/>
  <c r="S108" i="8"/>
  <c r="T108" i="8"/>
  <c r="U108" i="8"/>
  <c r="V108" i="8"/>
  <c r="W108" i="8"/>
  <c r="X108" i="8"/>
  <c r="N109" i="8"/>
  <c r="O109" i="8"/>
  <c r="P109" i="8"/>
  <c r="Q109" i="8"/>
  <c r="R109" i="8"/>
  <c r="S109" i="8"/>
  <c r="T109" i="8"/>
  <c r="U109" i="8"/>
  <c r="V109" i="8"/>
  <c r="W109" i="8"/>
  <c r="X109" i="8"/>
  <c r="N110" i="8"/>
  <c r="O110" i="8"/>
  <c r="P110" i="8"/>
  <c r="Q110" i="8"/>
  <c r="R110" i="8"/>
  <c r="S110" i="8"/>
  <c r="T110" i="8"/>
  <c r="U110" i="8"/>
  <c r="V110" i="8"/>
  <c r="W110" i="8"/>
  <c r="X110" i="8"/>
  <c r="N111" i="8"/>
  <c r="O111" i="8"/>
  <c r="P111" i="8"/>
  <c r="Q111" i="8"/>
  <c r="R111" i="8"/>
  <c r="S111" i="8"/>
  <c r="T111" i="8"/>
  <c r="U111" i="8"/>
  <c r="V111" i="8"/>
  <c r="W111" i="8"/>
  <c r="X111" i="8"/>
  <c r="N112" i="8"/>
  <c r="O112" i="8"/>
  <c r="P112" i="8"/>
  <c r="Q112" i="8"/>
  <c r="R112" i="8"/>
  <c r="S112" i="8"/>
  <c r="T112" i="8"/>
  <c r="U112" i="8"/>
  <c r="V112" i="8"/>
  <c r="W112" i="8"/>
  <c r="X112" i="8"/>
  <c r="N113" i="8"/>
  <c r="O113" i="8"/>
  <c r="P113" i="8"/>
  <c r="Q113" i="8"/>
  <c r="R113" i="8"/>
  <c r="S113" i="8"/>
  <c r="T113" i="8"/>
  <c r="U113" i="8"/>
  <c r="V113" i="8"/>
  <c r="W113" i="8"/>
  <c r="X113" i="8"/>
  <c r="N114" i="8"/>
  <c r="O114" i="8"/>
  <c r="P114" i="8"/>
  <c r="Q114" i="8"/>
  <c r="R114" i="8"/>
  <c r="S114" i="8"/>
  <c r="T114" i="8"/>
  <c r="U114" i="8"/>
  <c r="V114" i="8"/>
  <c r="W114" i="8"/>
  <c r="X114" i="8"/>
  <c r="N115" i="8"/>
  <c r="O115" i="8"/>
  <c r="P115" i="8"/>
  <c r="Q115" i="8"/>
  <c r="R115" i="8"/>
  <c r="S115" i="8"/>
  <c r="T115" i="8"/>
  <c r="U115" i="8"/>
  <c r="V115" i="8"/>
  <c r="W115" i="8"/>
  <c r="X115" i="8"/>
  <c r="N116" i="8"/>
  <c r="O116" i="8"/>
  <c r="P116" i="8"/>
  <c r="Q116" i="8"/>
  <c r="R116" i="8"/>
  <c r="S116" i="8"/>
  <c r="T116" i="8"/>
  <c r="U116" i="8"/>
  <c r="V116" i="8"/>
  <c r="W116" i="8"/>
  <c r="X116" i="8"/>
  <c r="N117" i="8"/>
  <c r="O117" i="8"/>
  <c r="P117" i="8"/>
  <c r="Q117" i="8"/>
  <c r="R117" i="8"/>
  <c r="S117" i="8"/>
  <c r="T117" i="8"/>
  <c r="U117" i="8"/>
  <c r="V117" i="8"/>
  <c r="W117" i="8"/>
  <c r="X117" i="8"/>
  <c r="N118" i="8"/>
  <c r="O118" i="8"/>
  <c r="P118" i="8"/>
  <c r="Q118" i="8"/>
  <c r="R118" i="8"/>
  <c r="S118" i="8"/>
  <c r="T118" i="8"/>
  <c r="U118" i="8"/>
  <c r="V118" i="8"/>
  <c r="W118" i="8"/>
  <c r="X118" i="8"/>
  <c r="N119" i="8"/>
  <c r="O119" i="8"/>
  <c r="P119" i="8"/>
  <c r="Q119" i="8"/>
  <c r="R119" i="8"/>
  <c r="S119" i="8"/>
  <c r="T119" i="8"/>
  <c r="U119" i="8"/>
  <c r="V119" i="8"/>
  <c r="W119" i="8"/>
  <c r="X119" i="8"/>
  <c r="N120" i="8"/>
  <c r="O120" i="8"/>
  <c r="P120" i="8"/>
  <c r="Q120" i="8"/>
  <c r="R120" i="8"/>
  <c r="S120" i="8"/>
  <c r="T120" i="8"/>
  <c r="U120" i="8"/>
  <c r="V120" i="8"/>
  <c r="W120" i="8"/>
  <c r="X120" i="8"/>
  <c r="N121" i="8"/>
  <c r="O121" i="8"/>
  <c r="P121" i="8"/>
  <c r="Q121" i="8"/>
  <c r="R121" i="8"/>
  <c r="S121" i="8"/>
  <c r="T121" i="8"/>
  <c r="U121" i="8"/>
  <c r="V121" i="8"/>
  <c r="W121" i="8"/>
  <c r="X121" i="8"/>
  <c r="N122" i="8"/>
  <c r="O122" i="8"/>
  <c r="P122" i="8"/>
  <c r="Q122" i="8"/>
  <c r="R122" i="8"/>
  <c r="S122" i="8"/>
  <c r="T122" i="8"/>
  <c r="U122" i="8"/>
  <c r="V122" i="8"/>
  <c r="W122" i="8"/>
  <c r="X122" i="8"/>
  <c r="N123" i="8"/>
  <c r="O123" i="8"/>
  <c r="P123" i="8"/>
  <c r="Q123" i="8"/>
  <c r="R123" i="8"/>
  <c r="S123" i="8"/>
  <c r="T123" i="8"/>
  <c r="U123" i="8"/>
  <c r="V123" i="8"/>
  <c r="W123" i="8"/>
  <c r="X123" i="8"/>
  <c r="N124" i="8"/>
  <c r="O124" i="8"/>
  <c r="P124" i="8"/>
  <c r="Q124" i="8"/>
  <c r="R124" i="8"/>
  <c r="S124" i="8"/>
  <c r="T124" i="8"/>
  <c r="U124" i="8"/>
  <c r="V124" i="8"/>
  <c r="W124" i="8"/>
  <c r="X124" i="8"/>
  <c r="N125" i="8"/>
  <c r="O125" i="8"/>
  <c r="P125" i="8"/>
  <c r="Q125" i="8"/>
  <c r="R125" i="8"/>
  <c r="S125" i="8"/>
  <c r="T125" i="8"/>
  <c r="U125" i="8"/>
  <c r="V125" i="8"/>
  <c r="W125" i="8"/>
  <c r="X125" i="8"/>
  <c r="N126" i="8"/>
  <c r="O126" i="8"/>
  <c r="P126" i="8"/>
  <c r="Q126" i="8"/>
  <c r="R126" i="8"/>
  <c r="S126" i="8"/>
  <c r="T126" i="8"/>
  <c r="U126" i="8"/>
  <c r="V126" i="8"/>
  <c r="W126" i="8"/>
  <c r="X126" i="8"/>
  <c r="N127" i="8"/>
  <c r="O127" i="8"/>
  <c r="P127" i="8"/>
  <c r="Q127" i="8"/>
  <c r="R127" i="8"/>
  <c r="S127" i="8"/>
  <c r="T127" i="8"/>
  <c r="U127" i="8"/>
  <c r="V127" i="8"/>
  <c r="W127" i="8"/>
  <c r="X127" i="8"/>
  <c r="N128" i="8"/>
  <c r="O128" i="8"/>
  <c r="P128" i="8"/>
  <c r="Q128" i="8"/>
  <c r="R128" i="8"/>
  <c r="S128" i="8"/>
  <c r="T128" i="8"/>
  <c r="U128" i="8"/>
  <c r="V128" i="8"/>
  <c r="W128" i="8"/>
  <c r="X128" i="8"/>
  <c r="N129" i="8"/>
  <c r="O129" i="8"/>
  <c r="P129" i="8"/>
  <c r="Q129" i="8"/>
  <c r="R129" i="8"/>
  <c r="S129" i="8"/>
  <c r="T129" i="8"/>
  <c r="U129" i="8"/>
  <c r="V129" i="8"/>
  <c r="W129" i="8"/>
  <c r="X129" i="8"/>
  <c r="N130" i="8"/>
  <c r="O130" i="8"/>
  <c r="P130" i="8"/>
  <c r="Q130" i="8"/>
  <c r="R130" i="8"/>
  <c r="S130" i="8"/>
  <c r="T130" i="8"/>
  <c r="U130" i="8"/>
  <c r="V130" i="8"/>
  <c r="W130" i="8"/>
  <c r="X130" i="8"/>
  <c r="N131" i="8"/>
  <c r="O131" i="8"/>
  <c r="P131" i="8"/>
  <c r="Q131" i="8"/>
  <c r="R131" i="8"/>
  <c r="S131" i="8"/>
  <c r="T131" i="8"/>
  <c r="U131" i="8"/>
  <c r="V131" i="8"/>
  <c r="W131" i="8"/>
  <c r="X131" i="8"/>
  <c r="N132" i="8"/>
  <c r="O132" i="8"/>
  <c r="P132" i="8"/>
  <c r="Q132" i="8"/>
  <c r="R132" i="8"/>
  <c r="S132" i="8"/>
  <c r="T132" i="8"/>
  <c r="U132" i="8"/>
  <c r="V132" i="8"/>
  <c r="W132" i="8"/>
  <c r="X132" i="8"/>
  <c r="N133" i="8"/>
  <c r="O133" i="8"/>
  <c r="P133" i="8"/>
  <c r="Q133" i="8"/>
  <c r="R133" i="8"/>
  <c r="S133" i="8"/>
  <c r="T133" i="8"/>
  <c r="U133" i="8"/>
  <c r="V133" i="8"/>
  <c r="W133" i="8"/>
  <c r="X133" i="8"/>
  <c r="N134" i="8"/>
  <c r="O134" i="8"/>
  <c r="P134" i="8"/>
  <c r="Q134" i="8"/>
  <c r="R134" i="8"/>
  <c r="S134" i="8"/>
  <c r="T134" i="8"/>
  <c r="U134" i="8"/>
  <c r="V134" i="8"/>
  <c r="W134" i="8"/>
  <c r="X134" i="8"/>
  <c r="N135" i="8"/>
  <c r="O135" i="8"/>
  <c r="P135" i="8"/>
  <c r="Q135" i="8"/>
  <c r="R135" i="8"/>
  <c r="S135" i="8"/>
  <c r="T135" i="8"/>
  <c r="U135" i="8"/>
  <c r="V135" i="8"/>
  <c r="W135" i="8"/>
  <c r="X135" i="8"/>
  <c r="N136" i="8"/>
  <c r="O136" i="8"/>
  <c r="P136" i="8"/>
  <c r="Q136" i="8"/>
  <c r="R136" i="8"/>
  <c r="S136" i="8"/>
  <c r="T136" i="8"/>
  <c r="U136" i="8"/>
  <c r="V136" i="8"/>
  <c r="W136" i="8"/>
  <c r="X136" i="8"/>
  <c r="N137" i="8"/>
  <c r="O137" i="8"/>
  <c r="P137" i="8"/>
  <c r="Q137" i="8"/>
  <c r="R137" i="8"/>
  <c r="S137" i="8"/>
  <c r="T137" i="8"/>
  <c r="U137" i="8"/>
  <c r="V137" i="8"/>
  <c r="W137" i="8"/>
  <c r="X137" i="8"/>
  <c r="N138" i="8"/>
  <c r="O138" i="8"/>
  <c r="P138" i="8"/>
  <c r="Q138" i="8"/>
  <c r="R138" i="8"/>
  <c r="S138" i="8"/>
  <c r="T138" i="8"/>
  <c r="U138" i="8"/>
  <c r="V138" i="8"/>
  <c r="W138" i="8"/>
  <c r="X138" i="8"/>
  <c r="N139" i="8"/>
  <c r="O139" i="8"/>
  <c r="P139" i="8"/>
  <c r="Q139" i="8"/>
  <c r="R139" i="8"/>
  <c r="S139" i="8"/>
  <c r="T139" i="8"/>
  <c r="U139" i="8"/>
  <c r="V139" i="8"/>
  <c r="W139" i="8"/>
  <c r="X139" i="8"/>
  <c r="N140" i="8"/>
  <c r="O140" i="8"/>
  <c r="P140" i="8"/>
  <c r="Q140" i="8"/>
  <c r="R140" i="8"/>
  <c r="S140" i="8"/>
  <c r="T140" i="8"/>
  <c r="U140" i="8"/>
  <c r="V140" i="8"/>
  <c r="W140" i="8"/>
  <c r="X140" i="8"/>
  <c r="N141" i="8"/>
  <c r="O141" i="8"/>
  <c r="P141" i="8"/>
  <c r="Q141" i="8"/>
  <c r="R141" i="8"/>
  <c r="S141" i="8"/>
  <c r="T141" i="8"/>
  <c r="U141" i="8"/>
  <c r="V141" i="8"/>
  <c r="W141" i="8"/>
  <c r="X141" i="8"/>
  <c r="N142" i="8"/>
  <c r="O142" i="8"/>
  <c r="P142" i="8"/>
  <c r="Q142" i="8"/>
  <c r="R142" i="8"/>
  <c r="S142" i="8"/>
  <c r="T142" i="8"/>
  <c r="U142" i="8"/>
  <c r="V142" i="8"/>
  <c r="W142" i="8"/>
  <c r="X142" i="8"/>
  <c r="N143" i="8"/>
  <c r="O143" i="8"/>
  <c r="P143" i="8"/>
  <c r="Q143" i="8"/>
  <c r="R143" i="8"/>
  <c r="S143" i="8"/>
  <c r="T143" i="8"/>
  <c r="U143" i="8"/>
  <c r="V143" i="8"/>
  <c r="W143" i="8"/>
  <c r="X143" i="8"/>
  <c r="N144" i="8"/>
  <c r="O144" i="8"/>
  <c r="P144" i="8"/>
  <c r="Q144" i="8"/>
  <c r="R144" i="8"/>
  <c r="S144" i="8"/>
  <c r="T144" i="8"/>
  <c r="U144" i="8"/>
  <c r="V144" i="8"/>
  <c r="W144" i="8"/>
  <c r="X144" i="8"/>
  <c r="N145" i="8"/>
  <c r="O145" i="8"/>
  <c r="P145" i="8"/>
  <c r="Q145" i="8"/>
  <c r="R145" i="8"/>
  <c r="S145" i="8"/>
  <c r="T145" i="8"/>
  <c r="U145" i="8"/>
  <c r="V145" i="8"/>
  <c r="W145" i="8"/>
  <c r="X145" i="8"/>
  <c r="N146" i="8"/>
  <c r="O146" i="8"/>
  <c r="P146" i="8"/>
  <c r="Q146" i="8"/>
  <c r="R146" i="8"/>
  <c r="S146" i="8"/>
  <c r="T146" i="8"/>
  <c r="U146" i="8"/>
  <c r="V146" i="8"/>
  <c r="W146" i="8"/>
  <c r="X146" i="8"/>
  <c r="N147" i="8"/>
  <c r="O147" i="8"/>
  <c r="P147" i="8"/>
  <c r="Q147" i="8"/>
  <c r="R147" i="8"/>
  <c r="S147" i="8"/>
  <c r="T147" i="8"/>
  <c r="U147" i="8"/>
  <c r="V147" i="8"/>
  <c r="W147" i="8"/>
  <c r="X147" i="8"/>
  <c r="N148" i="8"/>
  <c r="O148" i="8"/>
  <c r="P148" i="8"/>
  <c r="Q148" i="8"/>
  <c r="R148" i="8"/>
  <c r="S148" i="8"/>
  <c r="T148" i="8"/>
  <c r="U148" i="8"/>
  <c r="V148" i="8"/>
  <c r="W148" i="8"/>
  <c r="X148" i="8"/>
  <c r="N149" i="8"/>
  <c r="O149" i="8"/>
  <c r="P149" i="8"/>
  <c r="Q149" i="8"/>
  <c r="R149" i="8"/>
  <c r="S149" i="8"/>
  <c r="T149" i="8"/>
  <c r="U149" i="8"/>
  <c r="V149" i="8"/>
  <c r="W149" i="8"/>
  <c r="X149" i="8"/>
  <c r="N150" i="8"/>
  <c r="O150" i="8"/>
  <c r="P150" i="8"/>
  <c r="Q150" i="8"/>
  <c r="R150" i="8"/>
  <c r="S150" i="8"/>
  <c r="T150" i="8"/>
  <c r="U150" i="8"/>
  <c r="V150" i="8"/>
  <c r="W150" i="8"/>
  <c r="X150" i="8"/>
  <c r="N151" i="8"/>
  <c r="O151" i="8"/>
  <c r="P151" i="8"/>
  <c r="Q151" i="8"/>
  <c r="R151" i="8"/>
  <c r="S151" i="8"/>
  <c r="T151" i="8"/>
  <c r="U151" i="8"/>
  <c r="V151" i="8"/>
  <c r="W151" i="8"/>
  <c r="X151" i="8"/>
  <c r="N152" i="8"/>
  <c r="O152" i="8"/>
  <c r="P152" i="8"/>
  <c r="Q152" i="8"/>
  <c r="R152" i="8"/>
  <c r="S152" i="8"/>
  <c r="T152" i="8"/>
  <c r="U152" i="8"/>
  <c r="V152" i="8"/>
  <c r="W152" i="8"/>
  <c r="X152" i="8"/>
  <c r="N153" i="8"/>
  <c r="O153" i="8"/>
  <c r="P153" i="8"/>
  <c r="Q153" i="8"/>
  <c r="R153" i="8"/>
  <c r="S153" i="8"/>
  <c r="T153" i="8"/>
  <c r="U153" i="8"/>
  <c r="V153" i="8"/>
  <c r="W153" i="8"/>
  <c r="X153" i="8"/>
  <c r="N154" i="8"/>
  <c r="O154" i="8"/>
  <c r="P154" i="8"/>
  <c r="Q154" i="8"/>
  <c r="R154" i="8"/>
  <c r="S154" i="8"/>
  <c r="T154" i="8"/>
  <c r="U154" i="8"/>
  <c r="V154" i="8"/>
  <c r="W154" i="8"/>
  <c r="X154" i="8"/>
  <c r="N155" i="8"/>
  <c r="O155" i="8"/>
  <c r="P155" i="8"/>
  <c r="Q155" i="8"/>
  <c r="R155" i="8"/>
  <c r="S155" i="8"/>
  <c r="T155" i="8"/>
  <c r="U155" i="8"/>
  <c r="V155" i="8"/>
  <c r="W155" i="8"/>
  <c r="X155" i="8"/>
  <c r="N156" i="8"/>
  <c r="O156" i="8"/>
  <c r="P156" i="8"/>
  <c r="Q156" i="8"/>
  <c r="R156" i="8"/>
  <c r="S156" i="8"/>
  <c r="T156" i="8"/>
  <c r="U156" i="8"/>
  <c r="V156" i="8"/>
  <c r="W156" i="8"/>
  <c r="X156" i="8"/>
  <c r="N157" i="8"/>
  <c r="O157" i="8"/>
  <c r="P157" i="8"/>
  <c r="Q157" i="8"/>
  <c r="R157" i="8"/>
  <c r="S157" i="8"/>
  <c r="T157" i="8"/>
  <c r="U157" i="8"/>
  <c r="V157" i="8"/>
  <c r="W157" i="8"/>
  <c r="X157" i="8"/>
  <c r="N158" i="8"/>
  <c r="O158" i="8"/>
  <c r="P158" i="8"/>
  <c r="Q158" i="8"/>
  <c r="R158" i="8"/>
  <c r="S158" i="8"/>
  <c r="T158" i="8"/>
  <c r="U158" i="8"/>
  <c r="V158" i="8"/>
  <c r="W158" i="8"/>
  <c r="X158" i="8"/>
  <c r="N159" i="8"/>
  <c r="O159" i="8"/>
  <c r="P159" i="8"/>
  <c r="Q159" i="8"/>
  <c r="R159" i="8"/>
  <c r="S159" i="8"/>
  <c r="T159" i="8"/>
  <c r="U159" i="8"/>
  <c r="V159" i="8"/>
  <c r="W159" i="8"/>
  <c r="X159" i="8"/>
  <c r="N160" i="8"/>
  <c r="O160" i="8"/>
  <c r="P160" i="8"/>
  <c r="Q160" i="8"/>
  <c r="R160" i="8"/>
  <c r="S160" i="8"/>
  <c r="T160" i="8"/>
  <c r="U160" i="8"/>
  <c r="V160" i="8"/>
  <c r="W160" i="8"/>
  <c r="X160" i="8"/>
  <c r="N161" i="8"/>
  <c r="O161" i="8"/>
  <c r="P161" i="8"/>
  <c r="Q161" i="8"/>
  <c r="R161" i="8"/>
  <c r="S161" i="8"/>
  <c r="T161" i="8"/>
  <c r="U161" i="8"/>
  <c r="V161" i="8"/>
  <c r="W161" i="8"/>
  <c r="X161" i="8"/>
  <c r="N162" i="8"/>
  <c r="O162" i="8"/>
  <c r="P162" i="8"/>
  <c r="Q162" i="8"/>
  <c r="R162" i="8"/>
  <c r="S162" i="8"/>
  <c r="T162" i="8"/>
  <c r="U162" i="8"/>
  <c r="V162" i="8"/>
  <c r="W162" i="8"/>
  <c r="X162" i="8"/>
  <c r="N163" i="8"/>
  <c r="O163" i="8"/>
  <c r="P163" i="8"/>
  <c r="Q163" i="8"/>
  <c r="R163" i="8"/>
  <c r="S163" i="8"/>
  <c r="T163" i="8"/>
  <c r="U163" i="8"/>
  <c r="V163" i="8"/>
  <c r="W163" i="8"/>
  <c r="X163" i="8"/>
  <c r="N164" i="8"/>
  <c r="O164" i="8"/>
  <c r="P164" i="8"/>
  <c r="Q164" i="8"/>
  <c r="R164" i="8"/>
  <c r="S164" i="8"/>
  <c r="T164" i="8"/>
  <c r="U164" i="8"/>
  <c r="V164" i="8"/>
  <c r="W164" i="8"/>
  <c r="X164" i="8"/>
  <c r="N165" i="8"/>
  <c r="O165" i="8"/>
  <c r="P165" i="8"/>
  <c r="Q165" i="8"/>
  <c r="R165" i="8"/>
  <c r="S165" i="8"/>
  <c r="T165" i="8"/>
  <c r="U165" i="8"/>
  <c r="V165" i="8"/>
  <c r="W165" i="8"/>
  <c r="X165" i="8"/>
  <c r="N166" i="8"/>
  <c r="O166" i="8"/>
  <c r="P166" i="8"/>
  <c r="Q166" i="8"/>
  <c r="R166" i="8"/>
  <c r="S166" i="8"/>
  <c r="T166" i="8"/>
  <c r="U166" i="8"/>
  <c r="V166" i="8"/>
  <c r="W166" i="8"/>
  <c r="X166" i="8"/>
  <c r="N167" i="8"/>
  <c r="O167" i="8"/>
  <c r="P167" i="8"/>
  <c r="Q167" i="8"/>
  <c r="R167" i="8"/>
  <c r="S167" i="8"/>
  <c r="T167" i="8"/>
  <c r="U167" i="8"/>
  <c r="V167" i="8"/>
  <c r="W167" i="8"/>
  <c r="X167" i="8"/>
  <c r="N168" i="8"/>
  <c r="O168" i="8"/>
  <c r="P168" i="8"/>
  <c r="Q168" i="8"/>
  <c r="R168" i="8"/>
  <c r="S168" i="8"/>
  <c r="T168" i="8"/>
  <c r="U168" i="8"/>
  <c r="V168" i="8"/>
  <c r="W168" i="8"/>
  <c r="X168" i="8"/>
  <c r="N169" i="8"/>
  <c r="O169" i="8"/>
  <c r="P169" i="8"/>
  <c r="Q169" i="8"/>
  <c r="R169" i="8"/>
  <c r="S169" i="8"/>
  <c r="T169" i="8"/>
  <c r="U169" i="8"/>
  <c r="V169" i="8"/>
  <c r="W169" i="8"/>
  <c r="X169" i="8"/>
  <c r="N170" i="8"/>
  <c r="O170" i="8"/>
  <c r="P170" i="8"/>
  <c r="Q170" i="8"/>
  <c r="R170" i="8"/>
  <c r="S170" i="8"/>
  <c r="T170" i="8"/>
  <c r="U170" i="8"/>
  <c r="V170" i="8"/>
  <c r="W170" i="8"/>
  <c r="X170" i="8"/>
  <c r="N171" i="8"/>
  <c r="O171" i="8"/>
  <c r="P171" i="8"/>
  <c r="Q171" i="8"/>
  <c r="R171" i="8"/>
  <c r="S171" i="8"/>
  <c r="T171" i="8"/>
  <c r="U171" i="8"/>
  <c r="V171" i="8"/>
  <c r="W171" i="8"/>
  <c r="X171" i="8"/>
  <c r="N172" i="8"/>
  <c r="O172" i="8"/>
  <c r="P172" i="8"/>
  <c r="Q172" i="8"/>
  <c r="R172" i="8"/>
  <c r="S172" i="8"/>
  <c r="T172" i="8"/>
  <c r="U172" i="8"/>
  <c r="V172" i="8"/>
  <c r="W172" i="8"/>
  <c r="X172" i="8"/>
  <c r="N173" i="8"/>
  <c r="O173" i="8"/>
  <c r="P173" i="8"/>
  <c r="Q173" i="8"/>
  <c r="R173" i="8"/>
  <c r="S173" i="8"/>
  <c r="T173" i="8"/>
  <c r="U173" i="8"/>
  <c r="V173" i="8"/>
  <c r="W173" i="8"/>
  <c r="X173" i="8"/>
  <c r="N174" i="8"/>
  <c r="O174" i="8"/>
  <c r="P174" i="8"/>
  <c r="Q174" i="8"/>
  <c r="R174" i="8"/>
  <c r="S174" i="8"/>
  <c r="T174" i="8"/>
  <c r="U174" i="8"/>
  <c r="V174" i="8"/>
  <c r="W174" i="8"/>
  <c r="X174" i="8"/>
  <c r="N175" i="8"/>
  <c r="O175" i="8"/>
  <c r="P175" i="8"/>
  <c r="Q175" i="8"/>
  <c r="R175" i="8"/>
  <c r="S175" i="8"/>
  <c r="T175" i="8"/>
  <c r="U175" i="8"/>
  <c r="V175" i="8"/>
  <c r="W175" i="8"/>
  <c r="X175" i="8"/>
  <c r="N176" i="8"/>
  <c r="O176" i="8"/>
  <c r="P176" i="8"/>
  <c r="Q176" i="8"/>
  <c r="R176" i="8"/>
  <c r="S176" i="8"/>
  <c r="T176" i="8"/>
  <c r="U176" i="8"/>
  <c r="V176" i="8"/>
  <c r="W176" i="8"/>
  <c r="X176" i="8"/>
  <c r="N177" i="8"/>
  <c r="O177" i="8"/>
  <c r="P177" i="8"/>
  <c r="Q177" i="8"/>
  <c r="R177" i="8"/>
  <c r="S177" i="8"/>
  <c r="T177" i="8"/>
  <c r="U177" i="8"/>
  <c r="V177" i="8"/>
  <c r="W177" i="8"/>
  <c r="X177" i="8"/>
  <c r="N178" i="8"/>
  <c r="O178" i="8"/>
  <c r="P178" i="8"/>
  <c r="Q178" i="8"/>
  <c r="R178" i="8"/>
  <c r="S178" i="8"/>
  <c r="T178" i="8"/>
  <c r="U178" i="8"/>
  <c r="V178" i="8"/>
  <c r="W178" i="8"/>
  <c r="X178" i="8"/>
  <c r="N179" i="8"/>
  <c r="O179" i="8"/>
  <c r="P179" i="8"/>
  <c r="Q179" i="8"/>
  <c r="R179" i="8"/>
  <c r="S179" i="8"/>
  <c r="T179" i="8"/>
  <c r="U179" i="8"/>
  <c r="V179" i="8"/>
  <c r="W179" i="8"/>
  <c r="X179" i="8"/>
  <c r="N180" i="8"/>
  <c r="O180" i="8"/>
  <c r="P180" i="8"/>
  <c r="Q180" i="8"/>
  <c r="R180" i="8"/>
  <c r="S180" i="8"/>
  <c r="T180" i="8"/>
  <c r="U180" i="8"/>
  <c r="V180" i="8"/>
  <c r="W180" i="8"/>
  <c r="X180" i="8"/>
  <c r="N181" i="8"/>
  <c r="O181" i="8"/>
  <c r="P181" i="8"/>
  <c r="Q181" i="8"/>
  <c r="R181" i="8"/>
  <c r="S181" i="8"/>
  <c r="T181" i="8"/>
  <c r="U181" i="8"/>
  <c r="V181" i="8"/>
  <c r="W181" i="8"/>
  <c r="X181" i="8"/>
  <c r="N182" i="8"/>
  <c r="O182" i="8"/>
  <c r="P182" i="8"/>
  <c r="Q182" i="8"/>
  <c r="R182" i="8"/>
  <c r="S182" i="8"/>
  <c r="T182" i="8"/>
  <c r="U182" i="8"/>
  <c r="V182" i="8"/>
  <c r="W182" i="8"/>
  <c r="X182" i="8"/>
  <c r="N183" i="8"/>
  <c r="O183" i="8"/>
  <c r="P183" i="8"/>
  <c r="Q183" i="8"/>
  <c r="R183" i="8"/>
  <c r="S183" i="8"/>
  <c r="T183" i="8"/>
  <c r="U183" i="8"/>
  <c r="V183" i="8"/>
  <c r="W183" i="8"/>
  <c r="X183" i="8"/>
  <c r="N184" i="8"/>
  <c r="O184" i="8"/>
  <c r="P184" i="8"/>
  <c r="Q184" i="8"/>
  <c r="R184" i="8"/>
  <c r="S184" i="8"/>
  <c r="T184" i="8"/>
  <c r="U184" i="8"/>
  <c r="V184" i="8"/>
  <c r="W184" i="8"/>
  <c r="X184" i="8"/>
  <c r="N185" i="8"/>
  <c r="O185" i="8"/>
  <c r="P185" i="8"/>
  <c r="Q185" i="8"/>
  <c r="R185" i="8"/>
  <c r="S185" i="8"/>
  <c r="T185" i="8"/>
  <c r="U185" i="8"/>
  <c r="V185" i="8"/>
  <c r="W185" i="8"/>
  <c r="X185" i="8"/>
  <c r="N186" i="8"/>
  <c r="O186" i="8"/>
  <c r="P186" i="8"/>
  <c r="Q186" i="8"/>
  <c r="R186" i="8"/>
  <c r="S186" i="8"/>
  <c r="T186" i="8"/>
  <c r="U186" i="8"/>
  <c r="V186" i="8"/>
  <c r="W186" i="8"/>
  <c r="X186" i="8"/>
  <c r="N187" i="8"/>
  <c r="O187" i="8"/>
  <c r="P187" i="8"/>
  <c r="Q187" i="8"/>
  <c r="R187" i="8"/>
  <c r="S187" i="8"/>
  <c r="T187" i="8"/>
  <c r="U187" i="8"/>
  <c r="V187" i="8"/>
  <c r="W187" i="8"/>
  <c r="X187" i="8"/>
  <c r="N188" i="8"/>
  <c r="O188" i="8"/>
  <c r="P188" i="8"/>
  <c r="Q188" i="8"/>
  <c r="R188" i="8"/>
  <c r="S188" i="8"/>
  <c r="T188" i="8"/>
  <c r="U188" i="8"/>
  <c r="V188" i="8"/>
  <c r="W188" i="8"/>
  <c r="X188" i="8"/>
  <c r="N189" i="8"/>
  <c r="O189" i="8"/>
  <c r="P189" i="8"/>
  <c r="Q189" i="8"/>
  <c r="R189" i="8"/>
  <c r="S189" i="8"/>
  <c r="T189" i="8"/>
  <c r="U189" i="8"/>
  <c r="V189" i="8"/>
  <c r="W189" i="8"/>
  <c r="X189" i="8"/>
  <c r="N190" i="8"/>
  <c r="O190" i="8"/>
  <c r="P190" i="8"/>
  <c r="Q190" i="8"/>
  <c r="R190" i="8"/>
  <c r="S190" i="8"/>
  <c r="T190" i="8"/>
  <c r="U190" i="8"/>
  <c r="V190" i="8"/>
  <c r="W190" i="8"/>
  <c r="X190" i="8"/>
  <c r="N191" i="8"/>
  <c r="O191" i="8"/>
  <c r="P191" i="8"/>
  <c r="Q191" i="8"/>
  <c r="R191" i="8"/>
  <c r="S191" i="8"/>
  <c r="T191" i="8"/>
  <c r="U191" i="8"/>
  <c r="V191" i="8"/>
  <c r="W191" i="8"/>
  <c r="X191" i="8"/>
  <c r="N192" i="8"/>
  <c r="O192" i="8"/>
  <c r="P192" i="8"/>
  <c r="Q192" i="8"/>
  <c r="R192" i="8"/>
  <c r="S192" i="8"/>
  <c r="T192" i="8"/>
  <c r="U192" i="8"/>
  <c r="V192" i="8"/>
  <c r="W192" i="8"/>
  <c r="X192" i="8"/>
  <c r="N193" i="8"/>
  <c r="O193" i="8"/>
  <c r="P193" i="8"/>
  <c r="Q193" i="8"/>
  <c r="R193" i="8"/>
  <c r="S193" i="8"/>
  <c r="T193" i="8"/>
  <c r="U193" i="8"/>
  <c r="V193" i="8"/>
  <c r="W193" i="8"/>
  <c r="X193" i="8"/>
  <c r="N194" i="8"/>
  <c r="O194" i="8"/>
  <c r="P194" i="8"/>
  <c r="Q194" i="8"/>
  <c r="R194" i="8"/>
  <c r="S194" i="8"/>
  <c r="T194" i="8"/>
  <c r="U194" i="8"/>
  <c r="V194" i="8"/>
  <c r="W194" i="8"/>
  <c r="X194" i="8"/>
  <c r="N195" i="8"/>
  <c r="O195" i="8"/>
  <c r="P195" i="8"/>
  <c r="Q195" i="8"/>
  <c r="R195" i="8"/>
  <c r="S195" i="8"/>
  <c r="T195" i="8"/>
  <c r="U195" i="8"/>
  <c r="V195" i="8"/>
  <c r="W195" i="8"/>
  <c r="X195" i="8"/>
  <c r="N196" i="8"/>
  <c r="O196" i="8"/>
  <c r="P196" i="8"/>
  <c r="Q196" i="8"/>
  <c r="R196" i="8"/>
  <c r="S196" i="8"/>
  <c r="T196" i="8"/>
  <c r="U196" i="8"/>
  <c r="V196" i="8"/>
  <c r="W196" i="8"/>
  <c r="X196" i="8"/>
  <c r="N197" i="8"/>
  <c r="O197" i="8"/>
  <c r="P197" i="8"/>
  <c r="Q197" i="8"/>
  <c r="R197" i="8"/>
  <c r="S197" i="8"/>
  <c r="T197" i="8"/>
  <c r="U197" i="8"/>
  <c r="V197" i="8"/>
  <c r="W197" i="8"/>
  <c r="X197" i="8"/>
  <c r="N198" i="8"/>
  <c r="O198" i="8"/>
  <c r="P198" i="8"/>
  <c r="Q198" i="8"/>
  <c r="R198" i="8"/>
  <c r="S198" i="8"/>
  <c r="T198" i="8"/>
  <c r="U198" i="8"/>
  <c r="V198" i="8"/>
  <c r="W198" i="8"/>
  <c r="X198" i="8"/>
  <c r="N199" i="8"/>
  <c r="O199" i="8"/>
  <c r="P199" i="8"/>
  <c r="Q199" i="8"/>
  <c r="R199" i="8"/>
  <c r="S199" i="8"/>
  <c r="T199" i="8"/>
  <c r="U199" i="8"/>
  <c r="V199" i="8"/>
  <c r="W199" i="8"/>
  <c r="X199" i="8"/>
  <c r="N200" i="8"/>
  <c r="O200" i="8"/>
  <c r="P200" i="8"/>
  <c r="Q200" i="8"/>
  <c r="R200" i="8"/>
  <c r="S200" i="8"/>
  <c r="T200" i="8"/>
  <c r="U200" i="8"/>
  <c r="V200" i="8"/>
  <c r="W200" i="8"/>
  <c r="X200" i="8"/>
  <c r="N201" i="8"/>
  <c r="O201" i="8"/>
  <c r="P201" i="8"/>
  <c r="Q201" i="8"/>
  <c r="R201" i="8"/>
  <c r="S201" i="8"/>
  <c r="T201" i="8"/>
  <c r="U201" i="8"/>
  <c r="V201" i="8"/>
  <c r="W201" i="8"/>
  <c r="X201" i="8"/>
  <c r="N202" i="8"/>
  <c r="O202" i="8"/>
  <c r="P202" i="8"/>
  <c r="Q202" i="8"/>
  <c r="R202" i="8"/>
  <c r="S202" i="8"/>
  <c r="T202" i="8"/>
  <c r="U202" i="8"/>
  <c r="V202" i="8"/>
  <c r="W202" i="8"/>
  <c r="X202" i="8"/>
  <c r="N203" i="8"/>
  <c r="O203" i="8"/>
  <c r="P203" i="8"/>
  <c r="Q203" i="8"/>
  <c r="R203" i="8"/>
  <c r="S203" i="8"/>
  <c r="T203" i="8"/>
  <c r="U203" i="8"/>
  <c r="V203" i="8"/>
  <c r="W203" i="8"/>
  <c r="X203" i="8"/>
  <c r="N204" i="8"/>
  <c r="O204" i="8"/>
  <c r="P204" i="8"/>
  <c r="Q204" i="8"/>
  <c r="R204" i="8"/>
  <c r="S204" i="8"/>
  <c r="T204" i="8"/>
  <c r="U204" i="8"/>
  <c r="V204" i="8"/>
  <c r="W204" i="8"/>
  <c r="X204" i="8"/>
  <c r="N205" i="8"/>
  <c r="O205" i="8"/>
  <c r="P205" i="8"/>
  <c r="Q205" i="8"/>
  <c r="R205" i="8"/>
  <c r="S205" i="8"/>
  <c r="T205" i="8"/>
  <c r="U205" i="8"/>
  <c r="V205" i="8"/>
  <c r="W205" i="8"/>
  <c r="X205" i="8"/>
  <c r="N206" i="8"/>
  <c r="O206" i="8"/>
  <c r="P206" i="8"/>
  <c r="Q206" i="8"/>
  <c r="R206" i="8"/>
  <c r="S206" i="8"/>
  <c r="T206" i="8"/>
  <c r="U206" i="8"/>
  <c r="V206" i="8"/>
  <c r="W206" i="8"/>
  <c r="X206" i="8"/>
  <c r="N207" i="8"/>
  <c r="O207" i="8"/>
  <c r="P207" i="8"/>
  <c r="Q207" i="8"/>
  <c r="R207" i="8"/>
  <c r="S207" i="8"/>
  <c r="T207" i="8"/>
  <c r="U207" i="8"/>
  <c r="V207" i="8"/>
  <c r="W207" i="8"/>
  <c r="X207" i="8"/>
  <c r="N208" i="8"/>
  <c r="O208" i="8"/>
  <c r="P208" i="8"/>
  <c r="Q208" i="8"/>
  <c r="R208" i="8"/>
  <c r="S208" i="8"/>
  <c r="T208" i="8"/>
  <c r="U208" i="8"/>
  <c r="V208" i="8"/>
  <c r="W208" i="8"/>
  <c r="X208" i="8"/>
  <c r="N209" i="8"/>
  <c r="O209" i="8"/>
  <c r="P209" i="8"/>
  <c r="Q209" i="8"/>
  <c r="R209" i="8"/>
  <c r="S209" i="8"/>
  <c r="T209" i="8"/>
  <c r="U209" i="8"/>
  <c r="V209" i="8"/>
  <c r="W209" i="8"/>
  <c r="X209" i="8"/>
  <c r="N210" i="8"/>
  <c r="O210" i="8"/>
  <c r="P210" i="8"/>
  <c r="Q210" i="8"/>
  <c r="R210" i="8"/>
  <c r="S210" i="8"/>
  <c r="T210" i="8"/>
  <c r="U210" i="8"/>
  <c r="V210" i="8"/>
  <c r="W210" i="8"/>
  <c r="X210" i="8"/>
  <c r="N211" i="8"/>
  <c r="O211" i="8"/>
  <c r="P211" i="8"/>
  <c r="Q211" i="8"/>
  <c r="R211" i="8"/>
  <c r="S211" i="8"/>
  <c r="T211" i="8"/>
  <c r="U211" i="8"/>
  <c r="V211" i="8"/>
  <c r="W211" i="8"/>
  <c r="X211" i="8"/>
  <c r="N212" i="8"/>
  <c r="O212" i="8"/>
  <c r="P212" i="8"/>
  <c r="Q212" i="8"/>
  <c r="R212" i="8"/>
  <c r="S212" i="8"/>
  <c r="T212" i="8"/>
  <c r="U212" i="8"/>
  <c r="V212" i="8"/>
  <c r="W212" i="8"/>
  <c r="X212" i="8"/>
  <c r="N213" i="8"/>
  <c r="O213" i="8"/>
  <c r="P213" i="8"/>
  <c r="Q213" i="8"/>
  <c r="R213" i="8"/>
  <c r="S213" i="8"/>
  <c r="T213" i="8"/>
  <c r="U213" i="8"/>
  <c r="V213" i="8"/>
  <c r="W213" i="8"/>
  <c r="X213" i="8"/>
  <c r="N214" i="8"/>
  <c r="O214" i="8"/>
  <c r="P214" i="8"/>
  <c r="Q214" i="8"/>
  <c r="R214" i="8"/>
  <c r="S214" i="8"/>
  <c r="T214" i="8"/>
  <c r="U214" i="8"/>
  <c r="V214" i="8"/>
  <c r="W214" i="8"/>
  <c r="X214" i="8"/>
  <c r="N215" i="8"/>
  <c r="O215" i="8"/>
  <c r="P215" i="8"/>
  <c r="Q215" i="8"/>
  <c r="R215" i="8"/>
  <c r="S215" i="8"/>
  <c r="T215" i="8"/>
  <c r="U215" i="8"/>
  <c r="V215" i="8"/>
  <c r="W215" i="8"/>
  <c r="X215" i="8"/>
  <c r="N216" i="8"/>
  <c r="O216" i="8"/>
  <c r="P216" i="8"/>
  <c r="Q216" i="8"/>
  <c r="R216" i="8"/>
  <c r="S216" i="8"/>
  <c r="T216" i="8"/>
  <c r="U216" i="8"/>
  <c r="V216" i="8"/>
  <c r="W216" i="8"/>
  <c r="X216" i="8"/>
  <c r="N217" i="8"/>
  <c r="O217" i="8"/>
  <c r="P217" i="8"/>
  <c r="Q217" i="8"/>
  <c r="R217" i="8"/>
  <c r="S217" i="8"/>
  <c r="T217" i="8"/>
  <c r="U217" i="8"/>
  <c r="V217" i="8"/>
  <c r="W217" i="8"/>
  <c r="X217" i="8"/>
  <c r="N218" i="8"/>
  <c r="O218" i="8"/>
  <c r="P218" i="8"/>
  <c r="Q218" i="8"/>
  <c r="R218" i="8"/>
  <c r="S218" i="8"/>
  <c r="T218" i="8"/>
  <c r="U218" i="8"/>
  <c r="V218" i="8"/>
  <c r="W218" i="8"/>
  <c r="X218" i="8"/>
  <c r="N219" i="8"/>
  <c r="O219" i="8"/>
  <c r="P219" i="8"/>
  <c r="Q219" i="8"/>
  <c r="R219" i="8"/>
  <c r="S219" i="8"/>
  <c r="T219" i="8"/>
  <c r="U219" i="8"/>
  <c r="V219" i="8"/>
  <c r="W219" i="8"/>
  <c r="X219" i="8"/>
  <c r="N220" i="8"/>
  <c r="O220" i="8"/>
  <c r="P220" i="8"/>
  <c r="Q220" i="8"/>
  <c r="R220" i="8"/>
  <c r="S220" i="8"/>
  <c r="T220" i="8"/>
  <c r="U220" i="8"/>
  <c r="V220" i="8"/>
  <c r="W220" i="8"/>
  <c r="X220" i="8"/>
  <c r="N221" i="8"/>
  <c r="O221" i="8"/>
  <c r="P221" i="8"/>
  <c r="Q221" i="8"/>
  <c r="R221" i="8"/>
  <c r="S221" i="8"/>
  <c r="T221" i="8"/>
  <c r="U221" i="8"/>
  <c r="V221" i="8"/>
  <c r="W221" i="8"/>
  <c r="X221" i="8"/>
  <c r="N222" i="8"/>
  <c r="O222" i="8"/>
  <c r="P222" i="8"/>
  <c r="Q222" i="8"/>
  <c r="R222" i="8"/>
  <c r="S222" i="8"/>
  <c r="T222" i="8"/>
  <c r="U222" i="8"/>
  <c r="V222" i="8"/>
  <c r="W222" i="8"/>
  <c r="X222" i="8"/>
  <c r="N223" i="8"/>
  <c r="O223" i="8"/>
  <c r="P223" i="8"/>
  <c r="Q223" i="8"/>
  <c r="R223" i="8"/>
  <c r="S223" i="8"/>
  <c r="T223" i="8"/>
  <c r="U223" i="8"/>
  <c r="V223" i="8"/>
  <c r="W223" i="8"/>
  <c r="X223" i="8"/>
  <c r="N224" i="8"/>
  <c r="O224" i="8"/>
  <c r="P224" i="8"/>
  <c r="Q224" i="8"/>
  <c r="R224" i="8"/>
  <c r="S224" i="8"/>
  <c r="T224" i="8"/>
  <c r="U224" i="8"/>
  <c r="V224" i="8"/>
  <c r="W224" i="8"/>
  <c r="X224" i="8"/>
  <c r="N225" i="8"/>
  <c r="O225" i="8"/>
  <c r="P225" i="8"/>
  <c r="Q225" i="8"/>
  <c r="R225" i="8"/>
  <c r="S225" i="8"/>
  <c r="T225" i="8"/>
  <c r="U225" i="8"/>
  <c r="V225" i="8"/>
  <c r="W225" i="8"/>
  <c r="X225" i="8"/>
  <c r="N226" i="8"/>
  <c r="O226" i="8"/>
  <c r="P226" i="8"/>
  <c r="Q226" i="8"/>
  <c r="R226" i="8"/>
  <c r="S226" i="8"/>
  <c r="T226" i="8"/>
  <c r="U226" i="8"/>
  <c r="V226" i="8"/>
  <c r="W226" i="8"/>
  <c r="X226" i="8"/>
  <c r="N227" i="8"/>
  <c r="O227" i="8"/>
  <c r="P227" i="8"/>
  <c r="Q227" i="8"/>
  <c r="R227" i="8"/>
  <c r="S227" i="8"/>
  <c r="T227" i="8"/>
  <c r="U227" i="8"/>
  <c r="V227" i="8"/>
  <c r="W227" i="8"/>
  <c r="X227" i="8"/>
  <c r="N228" i="8"/>
  <c r="O228" i="8"/>
  <c r="P228" i="8"/>
  <c r="Q228" i="8"/>
  <c r="R228" i="8"/>
  <c r="S228" i="8"/>
  <c r="T228" i="8"/>
  <c r="U228" i="8"/>
  <c r="V228" i="8"/>
  <c r="W228" i="8"/>
  <c r="X228" i="8"/>
  <c r="N229" i="8"/>
  <c r="O229" i="8"/>
  <c r="P229" i="8"/>
  <c r="Q229" i="8"/>
  <c r="R229" i="8"/>
  <c r="S229" i="8"/>
  <c r="T229" i="8"/>
  <c r="U229" i="8"/>
  <c r="V229" i="8"/>
  <c r="W229" i="8"/>
  <c r="X229" i="8"/>
  <c r="N230" i="8"/>
  <c r="O230" i="8"/>
  <c r="P230" i="8"/>
  <c r="Q230" i="8"/>
  <c r="R230" i="8"/>
  <c r="S230" i="8"/>
  <c r="T230" i="8"/>
  <c r="U230" i="8"/>
  <c r="V230" i="8"/>
  <c r="W230" i="8"/>
  <c r="X230" i="8"/>
  <c r="N231" i="8"/>
  <c r="O231" i="8"/>
  <c r="P231" i="8"/>
  <c r="Q231" i="8"/>
  <c r="R231" i="8"/>
  <c r="S231" i="8"/>
  <c r="T231" i="8"/>
  <c r="U231" i="8"/>
  <c r="V231" i="8"/>
  <c r="W231" i="8"/>
  <c r="X231" i="8"/>
  <c r="N232" i="8"/>
  <c r="O232" i="8"/>
  <c r="P232" i="8"/>
  <c r="Q232" i="8"/>
  <c r="R232" i="8"/>
  <c r="S232" i="8"/>
  <c r="T232" i="8"/>
  <c r="U232" i="8"/>
  <c r="V232" i="8"/>
  <c r="W232" i="8"/>
  <c r="X232" i="8"/>
  <c r="N233" i="8"/>
  <c r="O233" i="8"/>
  <c r="P233" i="8"/>
  <c r="Q233" i="8"/>
  <c r="R233" i="8"/>
  <c r="S233" i="8"/>
  <c r="T233" i="8"/>
  <c r="U233" i="8"/>
  <c r="V233" i="8"/>
  <c r="W233" i="8"/>
  <c r="X233" i="8"/>
  <c r="N234" i="8"/>
  <c r="O234" i="8"/>
  <c r="P234" i="8"/>
  <c r="Q234" i="8"/>
  <c r="R234" i="8"/>
  <c r="S234" i="8"/>
  <c r="T234" i="8"/>
  <c r="U234" i="8"/>
  <c r="V234" i="8"/>
  <c r="W234" i="8"/>
  <c r="X234" i="8"/>
  <c r="N235" i="8"/>
  <c r="O235" i="8"/>
  <c r="P235" i="8"/>
  <c r="Q235" i="8"/>
  <c r="R235" i="8"/>
  <c r="S235" i="8"/>
  <c r="T235" i="8"/>
  <c r="U235" i="8"/>
  <c r="V235" i="8"/>
  <c r="W235" i="8"/>
  <c r="X235" i="8"/>
  <c r="N236" i="8"/>
  <c r="O236" i="8"/>
  <c r="P236" i="8"/>
  <c r="Q236" i="8"/>
  <c r="R236" i="8"/>
  <c r="S236" i="8"/>
  <c r="T236" i="8"/>
  <c r="U236" i="8"/>
  <c r="V236" i="8"/>
  <c r="W236" i="8"/>
  <c r="X236" i="8"/>
  <c r="N237" i="8"/>
  <c r="O237" i="8"/>
  <c r="P237" i="8"/>
  <c r="Q237" i="8"/>
  <c r="R237" i="8"/>
  <c r="S237" i="8"/>
  <c r="T237" i="8"/>
  <c r="U237" i="8"/>
  <c r="V237" i="8"/>
  <c r="W237" i="8"/>
  <c r="X237" i="8"/>
  <c r="N238" i="8"/>
  <c r="O238" i="8"/>
  <c r="P238" i="8"/>
  <c r="Q238" i="8"/>
  <c r="R238" i="8"/>
  <c r="S238" i="8"/>
  <c r="T238" i="8"/>
  <c r="U238" i="8"/>
  <c r="V238" i="8"/>
  <c r="W238" i="8"/>
  <c r="X238" i="8"/>
  <c r="N239" i="8"/>
  <c r="O239" i="8"/>
  <c r="P239" i="8"/>
  <c r="Q239" i="8"/>
  <c r="R239" i="8"/>
  <c r="S239" i="8"/>
  <c r="T239" i="8"/>
  <c r="U239" i="8"/>
  <c r="V239" i="8"/>
  <c r="W239" i="8"/>
  <c r="X239" i="8"/>
  <c r="N240" i="8"/>
  <c r="O240" i="8"/>
  <c r="P240" i="8"/>
  <c r="Q240" i="8"/>
  <c r="R240" i="8"/>
  <c r="S240" i="8"/>
  <c r="T240" i="8"/>
  <c r="U240" i="8"/>
  <c r="V240" i="8"/>
  <c r="W240" i="8"/>
  <c r="X240" i="8"/>
  <c r="N241" i="8"/>
  <c r="O241" i="8"/>
  <c r="P241" i="8"/>
  <c r="Q241" i="8"/>
  <c r="R241" i="8"/>
  <c r="S241" i="8"/>
  <c r="T241" i="8"/>
  <c r="U241" i="8"/>
  <c r="V241" i="8"/>
  <c r="W241" i="8"/>
  <c r="X241" i="8"/>
  <c r="N242" i="8"/>
  <c r="O242" i="8"/>
  <c r="P242" i="8"/>
  <c r="Q242" i="8"/>
  <c r="R242" i="8"/>
  <c r="S242" i="8"/>
  <c r="T242" i="8"/>
  <c r="U242" i="8"/>
  <c r="V242" i="8"/>
  <c r="W242" i="8"/>
  <c r="X242" i="8"/>
  <c r="N243" i="8"/>
  <c r="O243" i="8"/>
  <c r="P243" i="8"/>
  <c r="Q243" i="8"/>
  <c r="R243" i="8"/>
  <c r="S243" i="8"/>
  <c r="T243" i="8"/>
  <c r="U243" i="8"/>
  <c r="V243" i="8"/>
  <c r="W243" i="8"/>
  <c r="X243" i="8"/>
  <c r="N244" i="8"/>
  <c r="O244" i="8"/>
  <c r="P244" i="8"/>
  <c r="Q244" i="8"/>
  <c r="R244" i="8"/>
  <c r="S244" i="8"/>
  <c r="T244" i="8"/>
  <c r="U244" i="8"/>
  <c r="V244" i="8"/>
  <c r="W244" i="8"/>
  <c r="X244" i="8"/>
  <c r="N245" i="8"/>
  <c r="O245" i="8"/>
  <c r="P245" i="8"/>
  <c r="Q245" i="8"/>
  <c r="R245" i="8"/>
  <c r="S245" i="8"/>
  <c r="T245" i="8"/>
  <c r="U245" i="8"/>
  <c r="V245" i="8"/>
  <c r="W245" i="8"/>
  <c r="X245" i="8"/>
  <c r="N246" i="8"/>
  <c r="O246" i="8"/>
  <c r="P246" i="8"/>
  <c r="Q246" i="8"/>
  <c r="R246" i="8"/>
  <c r="S246" i="8"/>
  <c r="T246" i="8"/>
  <c r="U246" i="8"/>
  <c r="V246" i="8"/>
  <c r="W246" i="8"/>
  <c r="X246" i="8"/>
  <c r="N247" i="8"/>
  <c r="O247" i="8"/>
  <c r="P247" i="8"/>
  <c r="Q247" i="8"/>
  <c r="R247" i="8"/>
  <c r="S247" i="8"/>
  <c r="T247" i="8"/>
  <c r="U247" i="8"/>
  <c r="V247" i="8"/>
  <c r="W247" i="8"/>
  <c r="X247" i="8"/>
  <c r="N248" i="8"/>
  <c r="O248" i="8"/>
  <c r="P248" i="8"/>
  <c r="Q248" i="8"/>
  <c r="R248" i="8"/>
  <c r="S248" i="8"/>
  <c r="T248" i="8"/>
  <c r="U248" i="8"/>
  <c r="V248" i="8"/>
  <c r="W248" i="8"/>
  <c r="X248" i="8"/>
  <c r="N249" i="8"/>
  <c r="O249" i="8"/>
  <c r="P249" i="8"/>
  <c r="Q249" i="8"/>
  <c r="R249" i="8"/>
  <c r="S249" i="8"/>
  <c r="T249" i="8"/>
  <c r="U249" i="8"/>
  <c r="V249" i="8"/>
  <c r="W249" i="8"/>
  <c r="X249" i="8"/>
  <c r="N250" i="8"/>
  <c r="O250" i="8"/>
  <c r="P250" i="8"/>
  <c r="Q250" i="8"/>
  <c r="R250" i="8"/>
  <c r="S250" i="8"/>
  <c r="T250" i="8"/>
  <c r="U250" i="8"/>
  <c r="V250" i="8"/>
  <c r="W250" i="8"/>
  <c r="X250" i="8"/>
  <c r="N251" i="8"/>
  <c r="O251" i="8"/>
  <c r="P251" i="8"/>
  <c r="Q251" i="8"/>
  <c r="R251" i="8"/>
  <c r="S251" i="8"/>
  <c r="T251" i="8"/>
  <c r="U251" i="8"/>
  <c r="V251" i="8"/>
  <c r="W251" i="8"/>
  <c r="X251" i="8"/>
  <c r="N252" i="8"/>
  <c r="O252" i="8"/>
  <c r="P252" i="8"/>
  <c r="Q252" i="8"/>
  <c r="R252" i="8"/>
  <c r="S252" i="8"/>
  <c r="T252" i="8"/>
  <c r="U252" i="8"/>
  <c r="V252" i="8"/>
  <c r="W252" i="8"/>
  <c r="X252" i="8"/>
  <c r="N253" i="8"/>
  <c r="O253" i="8"/>
  <c r="P253" i="8"/>
  <c r="Q253" i="8"/>
  <c r="R253" i="8"/>
  <c r="S253" i="8"/>
  <c r="T253" i="8"/>
  <c r="U253" i="8"/>
  <c r="V253" i="8"/>
  <c r="W253" i="8"/>
  <c r="X253" i="8"/>
  <c r="W3" i="8"/>
  <c r="X3" i="8"/>
  <c r="O3" i="8"/>
  <c r="P3" i="8"/>
  <c r="AO9" i="8" s="1"/>
  <c r="AO10" i="8" s="1"/>
  <c r="Q3" i="8"/>
  <c r="R3" i="8"/>
  <c r="S3" i="8"/>
  <c r="T3" i="8"/>
  <c r="U3" i="8"/>
  <c r="V3" i="8"/>
  <c r="N3" i="8"/>
  <c r="AX40" i="8" l="1"/>
  <c r="AV39" i="8"/>
  <c r="AV41" i="8" s="1"/>
  <c r="AU39" i="8"/>
  <c r="AU41" i="8" s="1"/>
  <c r="AS39" i="8"/>
  <c r="AS41" i="8" s="1"/>
  <c r="AT39" i="8"/>
  <c r="AT41" i="8" s="1"/>
  <c r="AR39" i="8"/>
  <c r="AR41" i="8" s="1"/>
  <c r="AQ39" i="8"/>
  <c r="AQ41" i="8" s="1"/>
  <c r="AP39" i="8"/>
  <c r="AP41" i="8" s="1"/>
  <c r="AO39" i="8"/>
  <c r="AO41" i="8" s="1"/>
  <c r="AN39" i="8"/>
  <c r="AN41" i="8" s="1"/>
  <c r="AM39" i="8"/>
  <c r="AM41" i="8" s="1"/>
  <c r="AN9" i="8"/>
  <c r="AN10" i="8" s="1"/>
  <c r="AM9" i="8"/>
  <c r="AM10" i="8" s="1"/>
  <c r="AV9" i="8"/>
  <c r="AV10" i="8" s="1"/>
  <c r="AU9" i="8"/>
  <c r="AU10" i="8" s="1"/>
  <c r="AT9" i="8"/>
  <c r="AT10" i="8" s="1"/>
  <c r="AS9" i="8"/>
  <c r="AS10" i="8" s="1"/>
  <c r="AR9" i="8"/>
  <c r="AR10" i="8" s="1"/>
  <c r="AQ9" i="8"/>
  <c r="AQ10" i="8" s="1"/>
  <c r="AP9" i="8"/>
  <c r="AP10" i="8" s="1"/>
  <c r="C13" i="6" a="1"/>
  <c r="C25" i="6" a="1"/>
  <c r="BE15" i="8" l="1"/>
  <c r="BE27" i="8"/>
  <c r="BE39" i="8"/>
  <c r="BE51" i="8"/>
  <c r="BE63" i="8"/>
  <c r="BE75" i="8"/>
  <c r="BE87" i="8"/>
  <c r="BE99" i="8"/>
  <c r="BE111" i="8"/>
  <c r="BE123" i="8"/>
  <c r="BE135" i="8"/>
  <c r="BE147" i="8"/>
  <c r="BE159" i="8"/>
  <c r="BE171" i="8"/>
  <c r="BE183" i="8"/>
  <c r="BE195" i="8"/>
  <c r="BE207" i="8"/>
  <c r="BE219" i="8"/>
  <c r="BE231" i="8"/>
  <c r="BE243" i="8"/>
  <c r="BE255" i="8"/>
  <c r="BE67" i="8"/>
  <c r="BE163" i="8"/>
  <c r="BE223" i="8"/>
  <c r="BE16" i="8"/>
  <c r="BE28" i="8"/>
  <c r="BE40" i="8"/>
  <c r="BE52" i="8"/>
  <c r="BE64" i="8"/>
  <c r="BE76" i="8"/>
  <c r="BE88" i="8"/>
  <c r="BE100" i="8"/>
  <c r="BE112" i="8"/>
  <c r="BE124" i="8"/>
  <c r="BE136" i="8"/>
  <c r="BE148" i="8"/>
  <c r="BE160" i="8"/>
  <c r="BE172" i="8"/>
  <c r="BE184" i="8"/>
  <c r="BE196" i="8"/>
  <c r="BE208" i="8"/>
  <c r="BE220" i="8"/>
  <c r="BE232" i="8"/>
  <c r="BE244" i="8"/>
  <c r="BE256" i="8"/>
  <c r="BE19" i="8"/>
  <c r="BE91" i="8"/>
  <c r="BE127" i="8"/>
  <c r="BE175" i="8"/>
  <c r="BE235" i="8"/>
  <c r="BE17" i="8"/>
  <c r="BE29" i="8"/>
  <c r="BE41" i="8"/>
  <c r="BE53" i="8"/>
  <c r="BE65" i="8"/>
  <c r="BE77" i="8"/>
  <c r="BE89" i="8"/>
  <c r="BE101" i="8"/>
  <c r="BE113" i="8"/>
  <c r="BE125" i="8"/>
  <c r="BE137" i="8"/>
  <c r="BE149" i="8"/>
  <c r="BE161" i="8"/>
  <c r="BE173" i="8"/>
  <c r="BE185" i="8"/>
  <c r="BE197" i="8"/>
  <c r="BE209" i="8"/>
  <c r="BE221" i="8"/>
  <c r="BE233" i="8"/>
  <c r="BE245" i="8"/>
  <c r="BE5" i="8"/>
  <c r="BE31" i="8"/>
  <c r="BE115" i="8"/>
  <c r="BE151" i="8"/>
  <c r="BE199" i="8"/>
  <c r="BE6" i="8"/>
  <c r="BE18" i="8"/>
  <c r="BE30" i="8"/>
  <c r="BE42" i="8"/>
  <c r="BE54" i="8"/>
  <c r="BE66" i="8"/>
  <c r="BE78" i="8"/>
  <c r="BE90" i="8"/>
  <c r="BE102" i="8"/>
  <c r="BE114" i="8"/>
  <c r="BE126" i="8"/>
  <c r="BE138" i="8"/>
  <c r="BE150" i="8"/>
  <c r="BE162" i="8"/>
  <c r="BE174" i="8"/>
  <c r="BE186" i="8"/>
  <c r="BE198" i="8"/>
  <c r="BE210" i="8"/>
  <c r="BE222" i="8"/>
  <c r="BE234" i="8"/>
  <c r="BE246" i="8"/>
  <c r="BE7" i="8"/>
  <c r="BE43" i="8"/>
  <c r="BE55" i="8"/>
  <c r="BE79" i="8"/>
  <c r="BE103" i="8"/>
  <c r="BE139" i="8"/>
  <c r="BE187" i="8"/>
  <c r="BE247" i="8"/>
  <c r="BE8" i="8"/>
  <c r="BE20" i="8"/>
  <c r="BE32" i="8"/>
  <c r="BE44" i="8"/>
  <c r="BE56" i="8"/>
  <c r="BE68" i="8"/>
  <c r="BE80" i="8"/>
  <c r="BE92" i="8"/>
  <c r="BE104" i="8"/>
  <c r="BE116" i="8"/>
  <c r="BE128" i="8"/>
  <c r="BE140" i="8"/>
  <c r="BE152" i="8"/>
  <c r="BE164" i="8"/>
  <c r="BE176" i="8"/>
  <c r="BE188" i="8"/>
  <c r="BE200" i="8"/>
  <c r="BE212" i="8"/>
  <c r="BE224" i="8"/>
  <c r="BE236" i="8"/>
  <c r="BE248" i="8"/>
  <c r="BE9" i="8"/>
  <c r="BE21" i="8"/>
  <c r="BE33" i="8"/>
  <c r="BE45" i="8"/>
  <c r="BE57" i="8"/>
  <c r="BE69" i="8"/>
  <c r="BE81" i="8"/>
  <c r="BE93" i="8"/>
  <c r="BE105" i="8"/>
  <c r="BE117" i="8"/>
  <c r="BE129" i="8"/>
  <c r="BE141" i="8"/>
  <c r="BE153" i="8"/>
  <c r="BE165" i="8"/>
  <c r="BE177" i="8"/>
  <c r="BE189" i="8"/>
  <c r="BE201" i="8"/>
  <c r="BE213" i="8"/>
  <c r="BE225" i="8"/>
  <c r="BE237" i="8"/>
  <c r="BE249" i="8"/>
  <c r="BE10" i="8"/>
  <c r="BE22" i="8"/>
  <c r="BE34" i="8"/>
  <c r="BE46" i="8"/>
  <c r="BE58" i="8"/>
  <c r="BE70" i="8"/>
  <c r="BE82" i="8"/>
  <c r="BE94" i="8"/>
  <c r="BE106" i="8"/>
  <c r="BE118" i="8"/>
  <c r="BE130" i="8"/>
  <c r="BE142" i="8"/>
  <c r="BE154" i="8"/>
  <c r="BE166" i="8"/>
  <c r="BE178" i="8"/>
  <c r="BE190" i="8"/>
  <c r="BE202" i="8"/>
  <c r="BE214" i="8"/>
  <c r="BE226" i="8"/>
  <c r="BE238" i="8"/>
  <c r="BE250" i="8"/>
  <c r="BE11" i="8"/>
  <c r="BE23" i="8"/>
  <c r="BE35" i="8"/>
  <c r="BE47" i="8"/>
  <c r="BE59" i="8"/>
  <c r="BE71" i="8"/>
  <c r="BE83" i="8"/>
  <c r="BE95" i="8"/>
  <c r="BE107" i="8"/>
  <c r="BE119" i="8"/>
  <c r="BE131" i="8"/>
  <c r="BE143" i="8"/>
  <c r="BE155" i="8"/>
  <c r="BE167" i="8"/>
  <c r="BE179" i="8"/>
  <c r="BE191" i="8"/>
  <c r="BE203" i="8"/>
  <c r="BE215" i="8"/>
  <c r="BE227" i="8"/>
  <c r="BE239" i="8"/>
  <c r="BE251" i="8"/>
  <c r="BE12" i="8"/>
  <c r="BE24" i="8"/>
  <c r="BE36" i="8"/>
  <c r="BE48" i="8"/>
  <c r="BE60" i="8"/>
  <c r="BE72" i="8"/>
  <c r="BE84" i="8"/>
  <c r="BE96" i="8"/>
  <c r="BE108" i="8"/>
  <c r="BE120" i="8"/>
  <c r="BE132" i="8"/>
  <c r="BE144" i="8"/>
  <c r="BE156" i="8"/>
  <c r="BE168" i="8"/>
  <c r="BE180" i="8"/>
  <c r="BE192" i="8"/>
  <c r="BE204" i="8"/>
  <c r="BE216" i="8"/>
  <c r="BE228" i="8"/>
  <c r="BE240" i="8"/>
  <c r="BE252" i="8"/>
  <c r="BE211" i="8"/>
  <c r="BE13" i="8"/>
  <c r="BE25" i="8"/>
  <c r="BE37" i="8"/>
  <c r="BE49" i="8"/>
  <c r="BE61" i="8"/>
  <c r="BE73" i="8"/>
  <c r="BE85" i="8"/>
  <c r="BE97" i="8"/>
  <c r="BE109" i="8"/>
  <c r="BE121" i="8"/>
  <c r="BE133" i="8"/>
  <c r="BE145" i="8"/>
  <c r="BE157" i="8"/>
  <c r="BE169" i="8"/>
  <c r="BE181" i="8"/>
  <c r="BE193" i="8"/>
  <c r="BE205" i="8"/>
  <c r="BE217" i="8"/>
  <c r="BE229" i="8"/>
  <c r="BE241" i="8"/>
  <c r="BE253" i="8"/>
  <c r="BE14" i="8"/>
  <c r="BE26" i="8"/>
  <c r="BE38" i="8"/>
  <c r="BE50" i="8"/>
  <c r="BE62" i="8"/>
  <c r="BE74" i="8"/>
  <c r="BE86" i="8"/>
  <c r="BE98" i="8"/>
  <c r="BE110" i="8"/>
  <c r="BE122" i="8"/>
  <c r="BE134" i="8"/>
  <c r="BE146" i="8"/>
  <c r="BE158" i="8"/>
  <c r="BE170" i="8"/>
  <c r="BE182" i="8"/>
  <c r="BE194" i="8"/>
  <c r="BE206" i="8"/>
  <c r="BE218" i="8"/>
  <c r="BE230" i="8"/>
  <c r="BE242" i="8"/>
  <c r="BE254" i="8"/>
  <c r="AW10" i="8"/>
  <c r="AO11" i="8" s="1"/>
  <c r="AO13" i="8" s="1"/>
  <c r="AM11" i="8"/>
  <c r="AN11" i="8"/>
  <c r="AN13" i="8" s="1"/>
  <c r="I31" i="6"/>
  <c r="I27" i="6"/>
  <c r="D31" i="6"/>
  <c r="F28" i="6"/>
  <c r="I28" i="6"/>
  <c r="F27" i="6"/>
  <c r="E25" i="6"/>
  <c r="G30" i="6"/>
  <c r="G28" i="6"/>
  <c r="G25" i="6"/>
  <c r="C31" i="6"/>
  <c r="J32" i="6"/>
  <c r="D32" i="6"/>
  <c r="H25" i="6"/>
  <c r="I33" i="6"/>
  <c r="I25" i="6"/>
  <c r="H33" i="6"/>
  <c r="C26" i="6"/>
  <c r="E33" i="6"/>
  <c r="C29" i="6"/>
  <c r="D29" i="6"/>
  <c r="D28" i="6"/>
  <c r="E27" i="6"/>
  <c r="D26" i="6"/>
  <c r="F31" i="6"/>
  <c r="D33" i="6"/>
  <c r="C30" i="6"/>
  <c r="K25" i="6"/>
  <c r="J30" i="6"/>
  <c r="D30" i="6"/>
  <c r="F32" i="6"/>
  <c r="K27" i="6"/>
  <c r="G31" i="6"/>
  <c r="I26" i="6"/>
  <c r="C32" i="6"/>
  <c r="F30" i="6"/>
  <c r="K26" i="6"/>
  <c r="H27" i="6"/>
  <c r="E26" i="6"/>
  <c r="K31" i="6"/>
  <c r="E28" i="6"/>
  <c r="G32" i="6"/>
  <c r="H32" i="6"/>
  <c r="J25" i="6"/>
  <c r="D27" i="6"/>
  <c r="G27" i="6"/>
  <c r="J33" i="6"/>
  <c r="H28" i="6"/>
  <c r="I32" i="6"/>
  <c r="J29" i="6"/>
  <c r="K29" i="6"/>
  <c r="I30" i="6"/>
  <c r="E32" i="6"/>
  <c r="F29" i="6"/>
  <c r="F33" i="6"/>
  <c r="F26" i="6"/>
  <c r="K30" i="6"/>
  <c r="G26" i="6"/>
  <c r="E31" i="6"/>
  <c r="J28" i="6"/>
  <c r="H31" i="6"/>
  <c r="K28" i="6"/>
  <c r="J26" i="6"/>
  <c r="C25" i="6"/>
  <c r="E29" i="6"/>
  <c r="K32" i="6"/>
  <c r="J31" i="6"/>
  <c r="J27" i="6"/>
  <c r="C33" i="6"/>
  <c r="C27" i="6"/>
  <c r="D25" i="6"/>
  <c r="F25" i="6"/>
  <c r="G33" i="6"/>
  <c r="C28" i="6"/>
  <c r="H26" i="6"/>
  <c r="E30" i="6"/>
  <c r="G29" i="6"/>
  <c r="I29" i="6"/>
  <c r="H29" i="6"/>
  <c r="K33" i="6"/>
  <c r="H30" i="6"/>
  <c r="K19" i="6"/>
  <c r="D18" i="6"/>
  <c r="E14" i="6"/>
  <c r="C17" i="6"/>
  <c r="K20" i="6"/>
  <c r="I18" i="6"/>
  <c r="H13" i="6"/>
  <c r="K17" i="6"/>
  <c r="E16" i="6"/>
  <c r="K16" i="6"/>
  <c r="C13" i="6"/>
  <c r="E19" i="6"/>
  <c r="I19" i="6"/>
  <c r="E20" i="6"/>
  <c r="H20" i="6"/>
  <c r="J21" i="6"/>
  <c r="H16" i="6"/>
  <c r="D13" i="6"/>
  <c r="H19" i="6"/>
  <c r="C19" i="6"/>
  <c r="E18" i="6"/>
  <c r="J18" i="6"/>
  <c r="J14" i="6"/>
  <c r="C14" i="6"/>
  <c r="D21" i="6"/>
  <c r="C21" i="6"/>
  <c r="D17" i="6"/>
  <c r="F15" i="6"/>
  <c r="C15" i="6"/>
  <c r="G17" i="6"/>
  <c r="K15" i="6"/>
  <c r="F16" i="6"/>
  <c r="E15" i="6"/>
  <c r="J13" i="6"/>
  <c r="I15" i="6"/>
  <c r="J16" i="6"/>
  <c r="I16" i="6"/>
  <c r="J17" i="6"/>
  <c r="I13" i="6"/>
  <c r="G15" i="6"/>
  <c r="F19" i="6"/>
  <c r="G20" i="6"/>
  <c r="G13" i="6"/>
  <c r="H14" i="6"/>
  <c r="E21" i="6"/>
  <c r="F20" i="6"/>
  <c r="H17" i="6"/>
  <c r="I17" i="6"/>
  <c r="D19" i="6"/>
  <c r="G18" i="6"/>
  <c r="E17" i="6"/>
  <c r="K21" i="6"/>
  <c r="D16" i="6"/>
  <c r="J19" i="6"/>
  <c r="H21" i="6"/>
  <c r="D20" i="6"/>
  <c r="F17" i="6"/>
  <c r="H15" i="6"/>
  <c r="C16" i="6"/>
  <c r="I14" i="6"/>
  <c r="J20" i="6"/>
  <c r="D14" i="6"/>
  <c r="G19" i="6"/>
  <c r="I20" i="6"/>
  <c r="C20" i="6"/>
  <c r="F13" i="6"/>
  <c r="K18" i="6"/>
  <c r="G14" i="6"/>
  <c r="H18" i="6"/>
  <c r="I21" i="6"/>
  <c r="F14" i="6"/>
  <c r="E13" i="6"/>
  <c r="F21" i="6"/>
  <c r="C18" i="6"/>
  <c r="F18" i="6"/>
  <c r="G16" i="6"/>
  <c r="G21" i="6"/>
  <c r="K14" i="6"/>
  <c r="K13" i="6"/>
  <c r="D15" i="6"/>
  <c r="J15" i="6"/>
  <c r="AP11" i="8" l="1"/>
  <c r="AP13" i="8" s="1"/>
  <c r="AU11" i="8"/>
  <c r="AU13" i="8" s="1"/>
  <c r="AS11" i="8"/>
  <c r="AS13" i="8" s="1"/>
  <c r="AQ11" i="8"/>
  <c r="AQ13" i="8" s="1"/>
  <c r="AM13" i="8"/>
  <c r="AT11" i="8"/>
  <c r="AT13" i="8" s="1"/>
  <c r="AR11" i="8"/>
  <c r="AR13" i="8" s="1"/>
  <c r="AV11" i="8"/>
  <c r="AV13" i="8" s="1"/>
  <c r="AW11" i="8" l="1"/>
  <c r="BC124" i="8"/>
  <c r="BC17" i="8"/>
  <c r="BC90" i="8"/>
  <c r="BC234" i="8"/>
  <c r="BC103" i="8"/>
  <c r="BC247" i="8"/>
  <c r="BC104" i="8"/>
  <c r="BC248" i="8"/>
  <c r="BC129" i="8"/>
  <c r="BC171" i="8"/>
  <c r="BC118" i="8"/>
  <c r="BC27" i="8"/>
  <c r="BC47" i="8"/>
  <c r="BC191" i="8"/>
  <c r="BC24" i="8"/>
  <c r="BC168" i="8"/>
  <c r="BC49" i="8"/>
  <c r="BC193" i="8"/>
  <c r="BC62" i="8"/>
  <c r="BC206" i="8"/>
  <c r="BC53" i="8"/>
  <c r="BC155" i="8"/>
  <c r="BC235" i="8"/>
  <c r="BC136" i="8"/>
  <c r="BC41" i="8"/>
  <c r="BC102" i="8"/>
  <c r="BC246" i="8"/>
  <c r="BC115" i="8"/>
  <c r="BC219" i="8"/>
  <c r="BC116" i="8"/>
  <c r="BC137" i="8"/>
  <c r="BC141" i="8"/>
  <c r="BC231" i="8"/>
  <c r="BC130" i="8"/>
  <c r="BC51" i="8"/>
  <c r="BC59" i="8"/>
  <c r="BC203" i="8"/>
  <c r="BC36" i="8"/>
  <c r="BC180" i="8"/>
  <c r="BC61" i="8"/>
  <c r="BC205" i="8"/>
  <c r="BC74" i="8"/>
  <c r="BC218" i="8"/>
  <c r="BC185" i="8"/>
  <c r="BC75" i="8"/>
  <c r="BC232" i="8"/>
  <c r="BC68" i="8"/>
  <c r="BC65" i="8"/>
  <c r="BC156" i="8"/>
  <c r="BC148" i="8"/>
  <c r="BC125" i="8"/>
  <c r="BC114" i="8"/>
  <c r="BC29" i="8"/>
  <c r="BC127" i="8"/>
  <c r="BC113" i="8"/>
  <c r="BC128" i="8"/>
  <c r="BC9" i="8"/>
  <c r="BC153" i="8"/>
  <c r="BC77" i="8"/>
  <c r="BC142" i="8"/>
  <c r="BC99" i="8"/>
  <c r="BC71" i="8"/>
  <c r="BC215" i="8"/>
  <c r="BC48" i="8"/>
  <c r="BC192" i="8"/>
  <c r="BC73" i="8"/>
  <c r="BC217" i="8"/>
  <c r="BC86" i="8"/>
  <c r="BC230" i="8"/>
  <c r="BC5" i="8"/>
  <c r="BC108" i="8"/>
  <c r="BC211" i="8"/>
  <c r="BC132" i="8"/>
  <c r="BC106" i="8"/>
  <c r="BC194" i="8"/>
  <c r="BC16" i="8"/>
  <c r="BC160" i="8"/>
  <c r="BC161" i="8"/>
  <c r="BC126" i="8"/>
  <c r="BC173" i="8"/>
  <c r="BC139" i="8"/>
  <c r="BC233" i="8"/>
  <c r="BC140" i="8"/>
  <c r="BC21" i="8"/>
  <c r="BC165" i="8"/>
  <c r="BC10" i="8"/>
  <c r="BC154" i="8"/>
  <c r="BC111" i="8"/>
  <c r="BC83" i="8"/>
  <c r="BC227" i="8"/>
  <c r="BC60" i="8"/>
  <c r="BC204" i="8"/>
  <c r="BC85" i="8"/>
  <c r="BC229" i="8"/>
  <c r="BC98" i="8"/>
  <c r="BC242" i="8"/>
  <c r="BC159" i="8"/>
  <c r="BC198" i="8"/>
  <c r="BC11" i="8"/>
  <c r="BC147" i="8"/>
  <c r="BC112" i="8"/>
  <c r="BC63" i="8"/>
  <c r="BC50" i="8"/>
  <c r="BC28" i="8"/>
  <c r="BC172" i="8"/>
  <c r="BC221" i="8"/>
  <c r="BC138" i="8"/>
  <c r="BC7" i="8"/>
  <c r="BC151" i="8"/>
  <c r="BC8" i="8"/>
  <c r="BC152" i="8"/>
  <c r="BC33" i="8"/>
  <c r="BC177" i="8"/>
  <c r="BC22" i="8"/>
  <c r="BC166" i="8"/>
  <c r="BC135" i="8"/>
  <c r="BC95" i="8"/>
  <c r="BC239" i="8"/>
  <c r="BC72" i="8"/>
  <c r="BC216" i="8"/>
  <c r="BC97" i="8"/>
  <c r="BC241" i="8"/>
  <c r="BC110" i="8"/>
  <c r="BC254" i="8"/>
  <c r="BC133" i="8"/>
  <c r="BC93" i="8"/>
  <c r="BC157" i="8"/>
  <c r="BC91" i="8"/>
  <c r="BC179" i="8"/>
  <c r="BC40" i="8"/>
  <c r="BC184" i="8"/>
  <c r="BC6" i="8"/>
  <c r="BC150" i="8"/>
  <c r="BC19" i="8"/>
  <c r="BC163" i="8"/>
  <c r="BC20" i="8"/>
  <c r="BC164" i="8"/>
  <c r="BC45" i="8"/>
  <c r="BC189" i="8"/>
  <c r="BC34" i="8"/>
  <c r="BC178" i="8"/>
  <c r="BC183" i="8"/>
  <c r="BC107" i="8"/>
  <c r="BC251" i="8"/>
  <c r="BC84" i="8"/>
  <c r="BC228" i="8"/>
  <c r="BC109" i="8"/>
  <c r="BC253" i="8"/>
  <c r="BC122" i="8"/>
  <c r="BC15" i="8"/>
  <c r="BC252" i="8"/>
  <c r="BC226" i="8"/>
  <c r="BC78" i="8"/>
  <c r="BC250" i="8"/>
  <c r="BC52" i="8"/>
  <c r="BC196" i="8"/>
  <c r="BC18" i="8"/>
  <c r="BC162" i="8"/>
  <c r="BC31" i="8"/>
  <c r="BC175" i="8"/>
  <c r="BC32" i="8"/>
  <c r="BC176" i="8"/>
  <c r="BC57" i="8"/>
  <c r="BC201" i="8"/>
  <c r="BC46" i="8"/>
  <c r="BC190" i="8"/>
  <c r="BC255" i="8"/>
  <c r="BC119" i="8"/>
  <c r="BC87" i="8"/>
  <c r="BC96" i="8"/>
  <c r="BC240" i="8"/>
  <c r="BC121" i="8"/>
  <c r="BC89" i="8"/>
  <c r="BC134" i="8"/>
  <c r="BC39" i="8"/>
  <c r="BC30" i="8"/>
  <c r="BC44" i="8"/>
  <c r="BC213" i="8"/>
  <c r="BC202" i="8"/>
  <c r="BC101" i="8"/>
  <c r="BC245" i="8"/>
  <c r="BC54" i="8"/>
  <c r="BC237" i="8"/>
  <c r="BC170" i="8"/>
  <c r="BC256" i="8"/>
  <c r="BC117" i="8"/>
  <c r="BC181" i="8"/>
  <c r="BC64" i="8"/>
  <c r="BC208" i="8"/>
  <c r="BC174" i="8"/>
  <c r="BC43" i="8"/>
  <c r="BC187" i="8"/>
  <c r="BC188" i="8"/>
  <c r="BC69" i="8"/>
  <c r="BC58" i="8"/>
  <c r="BC131" i="8"/>
  <c r="BC146" i="8"/>
  <c r="BC88" i="8"/>
  <c r="BC212" i="8"/>
  <c r="BC13" i="8"/>
  <c r="BC12" i="8"/>
  <c r="BC76" i="8"/>
  <c r="BC220" i="8"/>
  <c r="BC42" i="8"/>
  <c r="BC186" i="8"/>
  <c r="BC55" i="8"/>
  <c r="BC199" i="8"/>
  <c r="BC56" i="8"/>
  <c r="BC200" i="8"/>
  <c r="BC81" i="8"/>
  <c r="BC225" i="8"/>
  <c r="BC70" i="8"/>
  <c r="BC214" i="8"/>
  <c r="BC209" i="8"/>
  <c r="BC143" i="8"/>
  <c r="BC207" i="8"/>
  <c r="BC120" i="8"/>
  <c r="BC149" i="8"/>
  <c r="BC145" i="8"/>
  <c r="BC14" i="8"/>
  <c r="BC158" i="8"/>
  <c r="BC123" i="8"/>
  <c r="BC67" i="8"/>
  <c r="BC82" i="8"/>
  <c r="BC26" i="8"/>
  <c r="BC236" i="8"/>
  <c r="BC37" i="8"/>
  <c r="BC100" i="8"/>
  <c r="BC244" i="8"/>
  <c r="BC66" i="8"/>
  <c r="BC210" i="8"/>
  <c r="BC79" i="8"/>
  <c r="BC223" i="8"/>
  <c r="BC80" i="8"/>
  <c r="BC224" i="8"/>
  <c r="BC105" i="8"/>
  <c r="BC249" i="8"/>
  <c r="BC94" i="8"/>
  <c r="BC238" i="8"/>
  <c r="BC23" i="8"/>
  <c r="BC167" i="8"/>
  <c r="BC197" i="8"/>
  <c r="BC144" i="8"/>
  <c r="BC25" i="8"/>
  <c r="BC169" i="8"/>
  <c r="BC38" i="8"/>
  <c r="BC182" i="8"/>
  <c r="BC195" i="8"/>
  <c r="BC222" i="8"/>
  <c r="BC92" i="8"/>
  <c r="BC35" i="8"/>
  <c r="BC243" i="8"/>
</calcChain>
</file>

<file path=xl/sharedStrings.xml><?xml version="1.0" encoding="utf-8"?>
<sst xmlns="http://schemas.openxmlformats.org/spreadsheetml/2006/main" count="196" uniqueCount="52">
  <si>
    <t>Price</t>
  </si>
  <si>
    <t>Return</t>
  </si>
  <si>
    <t>EWS</t>
  </si>
  <si>
    <t>RE</t>
  </si>
  <si>
    <t>Time</t>
  </si>
  <si>
    <t>Total</t>
  </si>
  <si>
    <t>Gain</t>
  </si>
  <si>
    <t>price</t>
  </si>
  <si>
    <t>SD</t>
  </si>
  <si>
    <t>weight</t>
  </si>
  <si>
    <t>Eigenvalue</t>
  </si>
  <si>
    <t>Eigenvector</t>
  </si>
  <si>
    <t>Eigenmode</t>
  </si>
  <si>
    <t>inverse</t>
  </si>
  <si>
    <t>Projection</t>
  </si>
  <si>
    <t>EWP</t>
  </si>
  <si>
    <t>volume</t>
  </si>
  <si>
    <t>0.1</t>
  </si>
  <si>
    <t>Sign-corrected eigenvectors</t>
  </si>
  <si>
    <t>Risk wt</t>
  </si>
  <si>
    <t>Eigenmodes sorted with decreasing magnitude of eigenvalues</t>
  </si>
  <si>
    <t>Cumulative variance</t>
  </si>
  <si>
    <t>Equal weight stock (EWS)</t>
  </si>
  <si>
    <t>Risk equity (RE)</t>
  </si>
  <si>
    <t>Equal weight portfolio (EWP)</t>
  </si>
  <si>
    <t>Correlation</t>
  </si>
  <si>
    <t>Eigenvalues and eigenvectors copied from the matrix area</t>
  </si>
  <si>
    <t>Minimum</t>
  </si>
  <si>
    <t>equal wt</t>
  </si>
  <si>
    <t>stock wt</t>
  </si>
  <si>
    <t>Diversified risk parity (DRP)</t>
  </si>
  <si>
    <t>DRP</t>
  </si>
  <si>
    <t>MSFT</t>
  </si>
  <si>
    <t>AAPL</t>
  </si>
  <si>
    <t>AMZN</t>
  </si>
  <si>
    <t>GOOGL</t>
  </si>
  <si>
    <t>TSLA</t>
  </si>
  <si>
    <t>GOOG</t>
  </si>
  <si>
    <t>FB</t>
  </si>
  <si>
    <t>NVDA</t>
  </si>
  <si>
    <t>BRK-B</t>
  </si>
  <si>
    <t>JPM</t>
  </si>
  <si>
    <t>GSPC</t>
  </si>
  <si>
    <t>beta</t>
  </si>
  <si>
    <t>First 2 modes are selected for 80% cumulative variance.</t>
    <phoneticPr fontId="2" type="noConversion"/>
  </si>
  <si>
    <t>2nd and 3rd principal components:</t>
    <phoneticPr fontId="2" type="noConversion"/>
  </si>
  <si>
    <t>cluster 1: AMZN, AAPL  
cluster 2:TSLA, a company that developing very fast
cluster 3: MSFT,NVDA: focus on software and hardware separately
cluster 4: GOOG,GOOGL: just the same company
cluster 5: BRK-B,JPM:two financial companies
cluster 6: FB: the only social networking platform</t>
    <phoneticPr fontId="2" type="noConversion"/>
  </si>
  <si>
    <t>short positions:
BRK-B</t>
    <phoneticPr fontId="2" type="noConversion"/>
  </si>
  <si>
    <t>short positions:
FB,BRK-B,JPM</t>
    <phoneticPr fontId="2" type="noConversion"/>
  </si>
  <si>
    <t>From the graph we get above,we can find that both EWP and DRP show a better profit from the up-trend market and have a similar trend (fluctuate a lot but increase in total).
The EWS and RE show a different trend, thesy just keep increaing a little every time without too much fluctuation.</t>
    <phoneticPr fontId="2" type="noConversion"/>
  </si>
  <si>
    <t>From the gain, sd and minimum value we get in the left,we 
can find that DRP shows the best gain and has the largest sd. 
All of these strategies gain money since this is a upward market</t>
    <phoneticPr fontId="2" type="noConversion"/>
  </si>
  <si>
    <t>From the beta result we can see in the left, DRP and EWP have high beta, 
meaning that these two strategies have more fluctuation
than the market. When the market increase by k%, our portfolio can earn beta*k% and vice versa. 
So, DRP make more money than others in this up-trend market. But this result does not show that the 
DRP reduces the systematic risk of the market. In contrast, it enlarges the effect of the market.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</si>
</sst>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00"/>
  </numFmts>
  <fonts count="7" x14ac:knownFonts="1">
    <font>
      <sz val="10"/>
      <name val="Arial"/>
    </font>
    <font>
      <sz val="10"/>
      <name val="宋体"/>
      <family val="2"/>
      <scheme val="minor"/>
    </font>
    <font>
      <sz val="8"/>
      <name val="Arial"/>
      <family val="2"/>
    </font>
    <font>
      <sz val="9"/>
      <name val="宋体"/>
      <family val="3"/>
      <charset val="134"/>
    </font>
    <font>
      <sz val="10"/>
      <name val="宋体"/>
      <family val="3"/>
      <charset val="134"/>
      <scheme val="minor"/>
    </font>
    <font>
      <sz val="11"/>
      <color rgb="FF000000"/>
      <name val="宋体"/>
      <family val="2"/>
      <charset val="134"/>
    </font>
    <font>
      <sz val="10"/>
      <color theme="1"/>
      <name val="宋体"/>
      <family val="2"/>
      <scheme val="minor"/>
    </font>
  </fonts>
  <fills count="9">
    <fill>
      <patternFill patternType="none"/>
    </fill>
    <fill>
      <patternFill patternType="gray125"/>
    </fill>
    <fill>
      <patternFill patternType="solid">
        <fgColor rgb="FFFFCCCC"/>
        <bgColor indexed="64"/>
      </patternFill>
    </fill>
    <fill>
      <patternFill patternType="solid">
        <fgColor rgb="FFCCFFCC"/>
        <bgColor indexed="64"/>
      </patternFill>
    </fill>
    <fill>
      <patternFill patternType="solid">
        <fgColor theme="0" tint="-0.14999847407452621"/>
        <bgColor indexed="64"/>
      </patternFill>
    </fill>
    <fill>
      <patternFill patternType="solid">
        <fgColor rgb="FFFFCC99"/>
        <bgColor indexed="64"/>
      </patternFill>
    </fill>
    <fill>
      <patternFill patternType="solid">
        <fgColor rgb="FFFFFF99"/>
        <bgColor indexed="64"/>
      </patternFill>
    </fill>
    <fill>
      <patternFill patternType="solid">
        <fgColor rgb="FF99CCFF"/>
        <bgColor indexed="64"/>
      </patternFill>
    </fill>
    <fill>
      <patternFill patternType="solid">
        <fgColor rgb="FFFF000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6">
    <xf numFmtId="0" fontId="0" fillId="0" borderId="0" xfId="0"/>
    <xf numFmtId="176" fontId="0" fillId="0" borderId="0" xfId="0" applyNumberFormat="1"/>
    <xf numFmtId="0" fontId="1" fillId="2" borderId="0" xfId="0" applyNumberFormat="1" applyFont="1" applyFill="1" applyAlignment="1">
      <alignment horizontal="center" vertical="center"/>
    </xf>
    <xf numFmtId="0" fontId="1" fillId="0" borderId="0" xfId="0" applyNumberFormat="1" applyFont="1" applyAlignment="1">
      <alignment horizontal="center" vertical="center"/>
    </xf>
    <xf numFmtId="0" fontId="1" fillId="0" borderId="0" xfId="0" applyNumberFormat="1" applyFont="1" applyAlignment="1">
      <alignment horizontal="left" vertical="center"/>
    </xf>
    <xf numFmtId="0" fontId="1" fillId="0"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1" fillId="4" borderId="0" xfId="0" applyNumberFormat="1" applyFont="1" applyFill="1" applyAlignment="1">
      <alignment horizontal="center" vertical="center"/>
    </xf>
    <xf numFmtId="0" fontId="1" fillId="0" borderId="0" xfId="0" applyNumberFormat="1" applyFont="1" applyAlignment="1">
      <alignment vertical="center"/>
    </xf>
    <xf numFmtId="0" fontId="1" fillId="0" borderId="0" xfId="0" applyNumberFormat="1" applyFont="1" applyFill="1" applyAlignment="1">
      <alignment vertical="center"/>
    </xf>
    <xf numFmtId="0" fontId="1" fillId="2" borderId="0" xfId="0" applyNumberFormat="1" applyFont="1" applyFill="1" applyAlignment="1">
      <alignment vertical="center"/>
    </xf>
    <xf numFmtId="0" fontId="1" fillId="5" borderId="0" xfId="0" applyNumberFormat="1" applyFont="1" applyFill="1" applyAlignment="1">
      <alignment vertical="center"/>
    </xf>
    <xf numFmtId="0" fontId="1" fillId="5" borderId="0" xfId="0" applyNumberFormat="1" applyFont="1" applyFill="1" applyAlignment="1">
      <alignment horizontal="center" vertical="center"/>
    </xf>
    <xf numFmtId="0" fontId="1" fillId="6" borderId="0" xfId="0" applyNumberFormat="1" applyFont="1" applyFill="1" applyAlignment="1">
      <alignment vertical="center"/>
    </xf>
    <xf numFmtId="0" fontId="1" fillId="6" borderId="0" xfId="0" applyNumberFormat="1" applyFont="1" applyFill="1" applyAlignment="1">
      <alignment horizontal="center" vertical="center"/>
    </xf>
    <xf numFmtId="0" fontId="1" fillId="7" borderId="0" xfId="0" applyNumberFormat="1" applyFont="1" applyFill="1" applyAlignment="1">
      <alignment vertical="center"/>
    </xf>
    <xf numFmtId="0" fontId="1" fillId="7" borderId="0" xfId="0" applyNumberFormat="1" applyFont="1" applyFill="1" applyAlignment="1">
      <alignment horizontal="center" vertical="center"/>
    </xf>
    <xf numFmtId="0" fontId="1" fillId="0" borderId="1" xfId="0" applyNumberFormat="1" applyFont="1" applyBorder="1" applyAlignment="1">
      <alignment horizontal="center" vertical="center"/>
    </xf>
    <xf numFmtId="0" fontId="1" fillId="0" borderId="2" xfId="0" applyNumberFormat="1" applyFont="1" applyBorder="1" applyAlignment="1">
      <alignment horizontal="center" vertical="center"/>
    </xf>
    <xf numFmtId="0" fontId="1" fillId="0" borderId="3" xfId="0" applyNumberFormat="1" applyFont="1" applyBorder="1" applyAlignment="1">
      <alignment horizontal="center" vertical="center"/>
    </xf>
    <xf numFmtId="0" fontId="1" fillId="0" borderId="4" xfId="0" applyNumberFormat="1" applyFont="1" applyBorder="1" applyAlignment="1">
      <alignment horizontal="center" vertical="center"/>
    </xf>
    <xf numFmtId="0" fontId="1" fillId="0" borderId="0" xfId="0" applyNumberFormat="1" applyFont="1" applyBorder="1" applyAlignment="1">
      <alignment horizontal="center" vertical="center"/>
    </xf>
    <xf numFmtId="0" fontId="1" fillId="0" borderId="5" xfId="0" applyNumberFormat="1" applyFont="1" applyBorder="1" applyAlignment="1">
      <alignment horizontal="center" vertical="center"/>
    </xf>
    <xf numFmtId="0" fontId="1" fillId="0" borderId="6" xfId="0" applyNumberFormat="1" applyFont="1" applyBorder="1" applyAlignment="1">
      <alignment horizontal="center" vertical="center"/>
    </xf>
    <xf numFmtId="0" fontId="1" fillId="0" borderId="7" xfId="0" applyNumberFormat="1" applyFont="1" applyBorder="1" applyAlignment="1">
      <alignment horizontal="center" vertical="center"/>
    </xf>
    <xf numFmtId="0" fontId="1" fillId="0" borderId="8" xfId="0" applyNumberFormat="1" applyFont="1" applyBorder="1" applyAlignment="1">
      <alignment horizontal="center" vertical="center"/>
    </xf>
    <xf numFmtId="4" fontId="1" fillId="0" borderId="0" xfId="0" applyNumberFormat="1" applyFont="1" applyAlignment="1">
      <alignment horizontal="center" vertical="center"/>
    </xf>
    <xf numFmtId="4" fontId="4" fillId="0" borderId="0" xfId="0" applyNumberFormat="1" applyFont="1" applyAlignment="1">
      <alignment horizontal="center" vertical="center"/>
    </xf>
    <xf numFmtId="14" fontId="5" fillId="0" borderId="0" xfId="0" applyNumberFormat="1" applyFont="1" applyFill="1" applyBorder="1" applyAlignment="1">
      <alignment vertical="center"/>
    </xf>
    <xf numFmtId="0" fontId="5" fillId="0" borderId="0" xfId="0" applyFont="1" applyFill="1" applyBorder="1" applyAlignment="1">
      <alignment vertical="center"/>
    </xf>
    <xf numFmtId="0" fontId="1" fillId="8" borderId="0" xfId="0" applyNumberFormat="1" applyFont="1" applyFill="1" applyAlignment="1">
      <alignment horizontal="center" vertical="center"/>
    </xf>
    <xf numFmtId="0" fontId="6" fillId="7" borderId="0" xfId="0" applyNumberFormat="1" applyFont="1" applyFill="1" applyAlignment="1">
      <alignment horizontal="center" vertical="center"/>
    </xf>
    <xf numFmtId="0"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0" fontId="1" fillId="0" borderId="0" xfId="0" applyNumberFormat="1" applyFont="1" applyFill="1" applyAlignment="1">
      <alignment horizontal="center" vertical="center" wrapText="1"/>
    </xf>
    <xf numFmtId="0" fontId="1" fillId="0" borderId="0" xfId="0" applyNumberFormat="1" applyFont="1" applyFill="1" applyAlignment="1">
      <alignment horizontal="center" vertical="center"/>
    </xf>
  </cellXfs>
  <cellStyles count="1">
    <cellStyle name="常规" xfId="0" builtinId="0"/>
  </cellStyles>
  <dxfs count="0"/>
  <tableStyles count="0" defaultTableStyle="TableStyleMedium2" defaultPivotStyle="PivotStyleLight16"/>
  <colors>
    <mruColors>
      <color rgb="FF99CCFF"/>
      <color rgb="FFFFFF99"/>
      <color rgb="FFFFCC99"/>
      <color rgb="FF66CCFF"/>
      <color rgb="FFFFCC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Eigenvalues of the eigenmodes</a:t>
            </a:r>
            <a:endParaRPr lang="zh-CN"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cke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PCA!$AA$56:$AJ$56</c:f>
              <c:numCache>
                <c:formatCode>General</c:formatCode>
                <c:ptCount val="10"/>
                <c:pt idx="0">
                  <c:v>7.4379385829629037</c:v>
                </c:pt>
                <c:pt idx="1">
                  <c:v>1.244606911089337</c:v>
                </c:pt>
                <c:pt idx="2">
                  <c:v>0.80230098587713883</c:v>
                </c:pt>
                <c:pt idx="3">
                  <c:v>0.26438122167778982</c:v>
                </c:pt>
                <c:pt idx="4">
                  <c:v>0.12935953706302797</c:v>
                </c:pt>
                <c:pt idx="5">
                  <c:v>5.3377034784761024E-2</c:v>
                </c:pt>
                <c:pt idx="6">
                  <c:v>3.2124942322157797E-2</c:v>
                </c:pt>
                <c:pt idx="7">
                  <c:v>2.631462917589503E-2</c:v>
                </c:pt>
                <c:pt idx="8">
                  <c:v>8.8226317564163298E-3</c:v>
                </c:pt>
                <c:pt idx="9">
                  <c:v>7.735232905708711E-4</c:v>
                </c:pt>
              </c:numCache>
            </c:numRef>
          </c:val>
          <c:smooth val="0"/>
        </c:ser>
        <c:dLbls>
          <c:showLegendKey val="0"/>
          <c:showVal val="0"/>
          <c:showCatName val="0"/>
          <c:showSerName val="0"/>
          <c:showPercent val="0"/>
          <c:showBubbleSize val="0"/>
        </c:dLbls>
        <c:marker val="1"/>
        <c:smooth val="0"/>
        <c:axId val="558585400"/>
        <c:axId val="558587752"/>
      </c:lineChart>
      <c:catAx>
        <c:axId val="5585854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Eigenmode</a:t>
                </a:r>
                <a:endParaRPr lang="zh-CN"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58587752"/>
        <c:crosses val="autoZero"/>
        <c:auto val="1"/>
        <c:lblAlgn val="ctr"/>
        <c:lblOffset val="100"/>
        <c:noMultiLvlLbl val="0"/>
      </c:catAx>
      <c:valAx>
        <c:axId val="558587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Eigenvalue</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58585400"/>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sz="1600" b="0" i="0" baseline="0">
                <a:effectLst/>
              </a:rPr>
              <a:t>2nd and 3rd principal components</a:t>
            </a:r>
            <a:endParaRPr lang="zh-CN" altLang="zh-CN" sz="1600">
              <a:effectLst/>
            </a:endParaRPr>
          </a:p>
        </c:rich>
      </c:tx>
      <c:layout>
        <c:manualLayout>
          <c:xMode val="edge"/>
          <c:yMode val="edge"/>
          <c:x val="8.9555555555555569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964588801399825E-2"/>
          <c:y val="0.16449074074074077"/>
          <c:w val="0.7674470691163604"/>
          <c:h val="0.76606481481481481"/>
        </c:manualLayout>
      </c:layout>
      <c:scatterChart>
        <c:scatterStyle val="lineMarker"/>
        <c:varyColors val="0"/>
        <c:ser>
          <c:idx val="0"/>
          <c:order val="0"/>
          <c:tx>
            <c:strRef>
              <c:f>PCA!$Z$57</c:f>
              <c:strCache>
                <c:ptCount val="1"/>
                <c:pt idx="0">
                  <c:v>MSFT</c:v>
                </c:pt>
              </c:strCache>
            </c:strRef>
          </c:tx>
          <c:spPr>
            <a:ln w="25400" cap="rnd">
              <a:noFill/>
              <a:round/>
            </a:ln>
            <a:effectLst/>
          </c:spPr>
          <c:marker>
            <c:symbol val="circle"/>
            <c:size val="5"/>
            <c:spPr>
              <a:solidFill>
                <a:schemeClr val="accent1"/>
              </a:solidFill>
              <a:ln w="9525">
                <a:solidFill>
                  <a:schemeClr val="accent1"/>
                </a:solidFill>
              </a:ln>
              <a:effectLst/>
            </c:spPr>
          </c:marker>
          <c:xVal>
            <c:numRef>
              <c:f>PCA!$AB$57</c:f>
              <c:numCache>
                <c:formatCode>General</c:formatCode>
                <c:ptCount val="1"/>
                <c:pt idx="0">
                  <c:v>0.11802777816220618</c:v>
                </c:pt>
              </c:numCache>
            </c:numRef>
          </c:xVal>
          <c:yVal>
            <c:numRef>
              <c:f>PCA!$AC$57</c:f>
              <c:numCache>
                <c:formatCode>General</c:formatCode>
                <c:ptCount val="1"/>
                <c:pt idx="0">
                  <c:v>-6.5643682102231135E-2</c:v>
                </c:pt>
              </c:numCache>
            </c:numRef>
          </c:yVal>
          <c:smooth val="0"/>
        </c:ser>
        <c:ser>
          <c:idx val="1"/>
          <c:order val="1"/>
          <c:tx>
            <c:strRef>
              <c:f>PCA!$Z$58</c:f>
              <c:strCache>
                <c:ptCount val="1"/>
                <c:pt idx="0">
                  <c:v>AAPL</c:v>
                </c:pt>
              </c:strCache>
            </c:strRef>
          </c:tx>
          <c:spPr>
            <a:ln w="25400" cap="rnd">
              <a:noFill/>
              <a:round/>
            </a:ln>
            <a:effectLst/>
          </c:spPr>
          <c:marker>
            <c:symbol val="circle"/>
            <c:size val="5"/>
            <c:spPr>
              <a:solidFill>
                <a:schemeClr val="accent2"/>
              </a:solidFill>
              <a:ln w="9525">
                <a:solidFill>
                  <a:schemeClr val="accent2"/>
                </a:solidFill>
              </a:ln>
              <a:effectLst/>
            </c:spPr>
          </c:marker>
          <c:xVal>
            <c:numRef>
              <c:f>PCA!$AB$58</c:f>
              <c:numCache>
                <c:formatCode>General</c:formatCode>
                <c:ptCount val="1"/>
                <c:pt idx="0">
                  <c:v>0.28643313854509023</c:v>
                </c:pt>
              </c:numCache>
            </c:numRef>
          </c:xVal>
          <c:yVal>
            <c:numRef>
              <c:f>PCA!$AC$58</c:f>
              <c:numCache>
                <c:formatCode>General</c:formatCode>
                <c:ptCount val="1"/>
                <c:pt idx="0">
                  <c:v>0.25305848653998647</c:v>
                </c:pt>
              </c:numCache>
            </c:numRef>
          </c:yVal>
          <c:smooth val="0"/>
        </c:ser>
        <c:ser>
          <c:idx val="2"/>
          <c:order val="2"/>
          <c:tx>
            <c:strRef>
              <c:f>PCA!$Z$59</c:f>
              <c:strCache>
                <c:ptCount val="1"/>
                <c:pt idx="0">
                  <c:v>AMZN</c:v>
                </c:pt>
              </c:strCache>
            </c:strRef>
          </c:tx>
          <c:spPr>
            <a:ln w="25400" cap="rnd">
              <a:noFill/>
              <a:round/>
            </a:ln>
            <a:effectLst/>
          </c:spPr>
          <c:marker>
            <c:symbol val="circle"/>
            <c:size val="5"/>
            <c:spPr>
              <a:solidFill>
                <a:schemeClr val="accent3"/>
              </a:solidFill>
              <a:ln w="9525">
                <a:solidFill>
                  <a:schemeClr val="accent3"/>
                </a:solidFill>
              </a:ln>
              <a:effectLst/>
            </c:spPr>
          </c:marker>
          <c:xVal>
            <c:numRef>
              <c:f>PCA!$AB$59</c:f>
              <c:numCache>
                <c:formatCode>General</c:formatCode>
                <c:ptCount val="1"/>
                <c:pt idx="0">
                  <c:v>0.11003817714763245</c:v>
                </c:pt>
              </c:numCache>
            </c:numRef>
          </c:xVal>
          <c:yVal>
            <c:numRef>
              <c:f>PCA!$AC$59</c:f>
              <c:numCache>
                <c:formatCode>General</c:formatCode>
                <c:ptCount val="1"/>
                <c:pt idx="0">
                  <c:v>0.63936509429004829</c:v>
                </c:pt>
              </c:numCache>
            </c:numRef>
          </c:yVal>
          <c:smooth val="0"/>
        </c:ser>
        <c:ser>
          <c:idx val="3"/>
          <c:order val="3"/>
          <c:tx>
            <c:strRef>
              <c:f>PCA!$Z$60</c:f>
              <c:strCache>
                <c:ptCount val="1"/>
                <c:pt idx="0">
                  <c:v>GOOGL</c:v>
                </c:pt>
              </c:strCache>
            </c:strRef>
          </c:tx>
          <c:spPr>
            <a:ln w="25400" cap="rnd">
              <a:noFill/>
              <a:round/>
            </a:ln>
            <a:effectLst/>
          </c:spPr>
          <c:marker>
            <c:symbol val="circle"/>
            <c:size val="5"/>
            <c:spPr>
              <a:solidFill>
                <a:schemeClr val="accent4"/>
              </a:solidFill>
              <a:ln w="9525">
                <a:solidFill>
                  <a:schemeClr val="accent4"/>
                </a:solidFill>
              </a:ln>
              <a:effectLst/>
            </c:spPr>
          </c:marker>
          <c:xVal>
            <c:numRef>
              <c:f>PCA!$AB$60</c:f>
              <c:numCache>
                <c:formatCode>General</c:formatCode>
                <c:ptCount val="1"/>
                <c:pt idx="0">
                  <c:v>-7.9488808952206128E-2</c:v>
                </c:pt>
              </c:numCache>
            </c:numRef>
          </c:xVal>
          <c:yVal>
            <c:numRef>
              <c:f>PCA!$AC$60</c:f>
              <c:numCache>
                <c:formatCode>General</c:formatCode>
                <c:ptCount val="1"/>
                <c:pt idx="0">
                  <c:v>-7.1124722813182772E-2</c:v>
                </c:pt>
              </c:numCache>
            </c:numRef>
          </c:yVal>
          <c:smooth val="0"/>
        </c:ser>
        <c:ser>
          <c:idx val="4"/>
          <c:order val="4"/>
          <c:tx>
            <c:strRef>
              <c:f>PCA!$Z$61</c:f>
              <c:strCache>
                <c:ptCount val="1"/>
                <c:pt idx="0">
                  <c:v>TSLA</c:v>
                </c:pt>
              </c:strCache>
            </c:strRef>
          </c:tx>
          <c:spPr>
            <a:ln w="25400" cap="rnd">
              <a:noFill/>
              <a:round/>
            </a:ln>
            <a:effectLst/>
          </c:spPr>
          <c:marker>
            <c:symbol val="circle"/>
            <c:size val="5"/>
            <c:spPr>
              <a:solidFill>
                <a:schemeClr val="accent5"/>
              </a:solidFill>
              <a:ln w="9525">
                <a:solidFill>
                  <a:schemeClr val="accent5"/>
                </a:solidFill>
              </a:ln>
              <a:effectLst/>
            </c:spPr>
          </c:marker>
          <c:xVal>
            <c:numRef>
              <c:f>PCA!$AB$61</c:f>
              <c:numCache>
                <c:formatCode>General</c:formatCode>
                <c:ptCount val="1"/>
                <c:pt idx="0">
                  <c:v>0.71462846355421861</c:v>
                </c:pt>
              </c:numCache>
            </c:numRef>
          </c:xVal>
          <c:yVal>
            <c:numRef>
              <c:f>PCA!$AC$61</c:f>
              <c:numCache>
                <c:formatCode>General</c:formatCode>
                <c:ptCount val="1"/>
                <c:pt idx="0">
                  <c:v>-0.3629725496756282</c:v>
                </c:pt>
              </c:numCache>
            </c:numRef>
          </c:yVal>
          <c:smooth val="0"/>
        </c:ser>
        <c:ser>
          <c:idx val="5"/>
          <c:order val="5"/>
          <c:tx>
            <c:strRef>
              <c:f>PCA!$Z$62</c:f>
              <c:strCache>
                <c:ptCount val="1"/>
                <c:pt idx="0">
                  <c:v>GOOG</c:v>
                </c:pt>
              </c:strCache>
            </c:strRef>
          </c:tx>
          <c:spPr>
            <a:ln w="25400" cap="rnd">
              <a:noFill/>
              <a:round/>
            </a:ln>
            <a:effectLst/>
          </c:spPr>
          <c:marker>
            <c:symbol val="circle"/>
            <c:size val="5"/>
            <c:spPr>
              <a:solidFill>
                <a:schemeClr val="accent6"/>
              </a:solidFill>
              <a:ln w="9525">
                <a:solidFill>
                  <a:schemeClr val="accent6"/>
                </a:solidFill>
              </a:ln>
              <a:effectLst/>
            </c:spPr>
          </c:marker>
          <c:xVal>
            <c:numRef>
              <c:f>PCA!$AB$62</c:f>
              <c:numCache>
                <c:formatCode>General</c:formatCode>
                <c:ptCount val="1"/>
                <c:pt idx="0">
                  <c:v>-0.10886302332211925</c:v>
                </c:pt>
              </c:numCache>
            </c:numRef>
          </c:xVal>
          <c:yVal>
            <c:numRef>
              <c:f>PCA!$AC$62</c:f>
              <c:numCache>
                <c:formatCode>General</c:formatCode>
                <c:ptCount val="1"/>
                <c:pt idx="0">
                  <c:v>-4.0838412763622274E-2</c:v>
                </c:pt>
              </c:numCache>
            </c:numRef>
          </c:yVal>
          <c:smooth val="0"/>
        </c:ser>
        <c:ser>
          <c:idx val="6"/>
          <c:order val="6"/>
          <c:tx>
            <c:strRef>
              <c:f>PCA!$Z$63</c:f>
              <c:strCache>
                <c:ptCount val="1"/>
                <c:pt idx="0">
                  <c:v>FB</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PCA!$AB$63</c:f>
              <c:numCache>
                <c:formatCode>General</c:formatCode>
                <c:ptCount val="1"/>
                <c:pt idx="0">
                  <c:v>-0.29915448444344378</c:v>
                </c:pt>
              </c:numCache>
            </c:numRef>
          </c:xVal>
          <c:yVal>
            <c:numRef>
              <c:f>PCA!$AC$63</c:f>
              <c:numCache>
                <c:formatCode>General</c:formatCode>
                <c:ptCount val="1"/>
                <c:pt idx="0">
                  <c:v>0.29998879719820359</c:v>
                </c:pt>
              </c:numCache>
            </c:numRef>
          </c:yVal>
          <c:smooth val="0"/>
        </c:ser>
        <c:ser>
          <c:idx val="7"/>
          <c:order val="7"/>
          <c:tx>
            <c:strRef>
              <c:f>PCA!$Z$64</c:f>
              <c:strCache>
                <c:ptCount val="1"/>
                <c:pt idx="0">
                  <c:v>NVDA</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PCA!$AB$64</c:f>
              <c:numCache>
                <c:formatCode>General</c:formatCode>
                <c:ptCount val="1"/>
                <c:pt idx="0">
                  <c:v>0.21919132631770485</c:v>
                </c:pt>
              </c:numCache>
            </c:numRef>
          </c:xVal>
          <c:yVal>
            <c:numRef>
              <c:f>PCA!$AC$64</c:f>
              <c:numCache>
                <c:formatCode>General</c:formatCode>
                <c:ptCount val="1"/>
                <c:pt idx="0">
                  <c:v>-1.6119399169279177E-2</c:v>
                </c:pt>
              </c:numCache>
            </c:numRef>
          </c:yVal>
          <c:smooth val="0"/>
        </c:ser>
        <c:ser>
          <c:idx val="8"/>
          <c:order val="8"/>
          <c:tx>
            <c:strRef>
              <c:f>PCA!$Z$65</c:f>
              <c:strCache>
                <c:ptCount val="1"/>
                <c:pt idx="0">
                  <c:v>BRK-B</c:v>
                </c:pt>
              </c:strCache>
            </c:strRef>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PCA!$AB$65</c:f>
              <c:numCache>
                <c:formatCode>General</c:formatCode>
                <c:ptCount val="1"/>
                <c:pt idx="0">
                  <c:v>-0.40268053837426576</c:v>
                </c:pt>
              </c:numCache>
            </c:numRef>
          </c:xVal>
          <c:yVal>
            <c:numRef>
              <c:f>PCA!$AC$65</c:f>
              <c:numCache>
                <c:formatCode>General</c:formatCode>
                <c:ptCount val="1"/>
                <c:pt idx="0">
                  <c:v>-0.20014024151429588</c:v>
                </c:pt>
              </c:numCache>
            </c:numRef>
          </c:yVal>
          <c:smooth val="0"/>
        </c:ser>
        <c:ser>
          <c:idx val="9"/>
          <c:order val="9"/>
          <c:tx>
            <c:strRef>
              <c:f>PCA!$Z$66</c:f>
              <c:strCache>
                <c:ptCount val="1"/>
                <c:pt idx="0">
                  <c:v>JPM</c:v>
                </c:pt>
              </c:strCache>
            </c:strRef>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PCA!$AB$66</c:f>
              <c:numCache>
                <c:formatCode>General</c:formatCode>
                <c:ptCount val="1"/>
                <c:pt idx="0">
                  <c:v>-0.25172161547444988</c:v>
                </c:pt>
              </c:numCache>
            </c:numRef>
          </c:xVal>
          <c:yVal>
            <c:numRef>
              <c:f>PCA!$AC$66</c:f>
              <c:numCache>
                <c:formatCode>General</c:formatCode>
                <c:ptCount val="1"/>
                <c:pt idx="0">
                  <c:v>-0.50406327169899579</c:v>
                </c:pt>
              </c:numCache>
            </c:numRef>
          </c:yVal>
          <c:smooth val="0"/>
        </c:ser>
        <c:dLbls>
          <c:showLegendKey val="0"/>
          <c:showVal val="0"/>
          <c:showCatName val="0"/>
          <c:showSerName val="0"/>
          <c:showPercent val="0"/>
          <c:showBubbleSize val="0"/>
        </c:dLbls>
        <c:axId val="558585008"/>
        <c:axId val="558582264"/>
      </c:scatterChart>
      <c:valAx>
        <c:axId val="558585008"/>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58582264"/>
        <c:crosses val="autoZero"/>
        <c:crossBetween val="midCat"/>
      </c:valAx>
      <c:valAx>
        <c:axId val="55858226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chemeClr val="tx1">
                <a:lumMod val="25000"/>
                <a:lumOff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585850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01159230096237"/>
          <c:y val="6.4814814814814811E-2"/>
          <c:w val="0.82058398950131228"/>
          <c:h val="0.56641878098571008"/>
        </c:manualLayout>
      </c:layout>
      <c:lineChart>
        <c:grouping val="standard"/>
        <c:varyColors val="0"/>
        <c:ser>
          <c:idx val="0"/>
          <c:order val="0"/>
          <c:tx>
            <c:v>Equal weight stock</c:v>
          </c:tx>
          <c:spPr>
            <a:ln w="28575" cap="rnd">
              <a:solidFill>
                <a:schemeClr val="accent1"/>
              </a:solidFill>
              <a:round/>
            </a:ln>
            <a:effectLst/>
          </c:spPr>
          <c:marker>
            <c:symbol val="none"/>
          </c:marker>
          <c:cat>
            <c:numRef>
              <c:f>PCA!$BA$5:$BA$256</c:f>
              <c:numCache>
                <c:formatCode>General</c:formatCode>
                <c:ptCount val="2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numCache>
            </c:numRef>
          </c:cat>
          <c:val>
            <c:numRef>
              <c:f>PCA!$BB$5:$BB$256</c:f>
              <c:numCache>
                <c:formatCode>General</c:formatCode>
                <c:ptCount val="252"/>
                <c:pt idx="0">
                  <c:v>0.99999999999999989</c:v>
                </c:pt>
                <c:pt idx="1">
                  <c:v>1.0064393704549661</c:v>
                </c:pt>
                <c:pt idx="2">
                  <c:v>1.0293169962576765</c:v>
                </c:pt>
                <c:pt idx="3">
                  <c:v>1.0363287369340239</c:v>
                </c:pt>
                <c:pt idx="4">
                  <c:v>1.0423755478738437</c:v>
                </c:pt>
                <c:pt idx="5">
                  <c:v>1.0322714999456111</c:v>
                </c:pt>
                <c:pt idx="6">
                  <c:v>1.0515304356921369</c:v>
                </c:pt>
                <c:pt idx="7">
                  <c:v>1.0549406265512944</c:v>
                </c:pt>
                <c:pt idx="8">
                  <c:v>1.0548697258254172</c:v>
                </c:pt>
                <c:pt idx="9">
                  <c:v>1.0564445341166588</c:v>
                </c:pt>
                <c:pt idx="10">
                  <c:v>1.0666109938817705</c:v>
                </c:pt>
                <c:pt idx="11">
                  <c:v>1.0667361753484557</c:v>
                </c:pt>
                <c:pt idx="12">
                  <c:v>1.040620253603437</c:v>
                </c:pt>
                <c:pt idx="13">
                  <c:v>1.0439587052050663</c:v>
                </c:pt>
                <c:pt idx="14">
                  <c:v>1.0402754281952191</c:v>
                </c:pt>
                <c:pt idx="15">
                  <c:v>1.044880686535232</c:v>
                </c:pt>
                <c:pt idx="16">
                  <c:v>1.0532523827367319</c:v>
                </c:pt>
                <c:pt idx="17">
                  <c:v>1.0538092390261316</c:v>
                </c:pt>
                <c:pt idx="18">
                  <c:v>1.0600769758860442</c:v>
                </c:pt>
                <c:pt idx="19">
                  <c:v>1.0621435864951749</c:v>
                </c:pt>
                <c:pt idx="20">
                  <c:v>1.0603195124167795</c:v>
                </c:pt>
                <c:pt idx="21">
                  <c:v>1.0555252492527742</c:v>
                </c:pt>
                <c:pt idx="22">
                  <c:v>1.0571201041121359</c:v>
                </c:pt>
                <c:pt idx="23">
                  <c:v>1.0624821130687203</c:v>
                </c:pt>
                <c:pt idx="24">
                  <c:v>1.0803537519932835</c:v>
                </c:pt>
                <c:pt idx="25">
                  <c:v>1.0786567528287498</c:v>
                </c:pt>
                <c:pt idx="26">
                  <c:v>1.0789435762434707</c:v>
                </c:pt>
                <c:pt idx="27">
                  <c:v>1.0836171890618194</c:v>
                </c:pt>
                <c:pt idx="28">
                  <c:v>1.0746726454503444</c:v>
                </c:pt>
                <c:pt idx="29">
                  <c:v>1.0829295358370117</c:v>
                </c:pt>
                <c:pt idx="30">
                  <c:v>1.0743911314832892</c:v>
                </c:pt>
                <c:pt idx="31">
                  <c:v>1.112460231904862</c:v>
                </c:pt>
                <c:pt idx="32">
                  <c:v>1.1299748240158791</c:v>
                </c:pt>
                <c:pt idx="33">
                  <c:v>1.1055384856524773</c:v>
                </c:pt>
                <c:pt idx="34">
                  <c:v>1.1085046214752778</c:v>
                </c:pt>
                <c:pt idx="35">
                  <c:v>1.1157703810568753</c:v>
                </c:pt>
                <c:pt idx="36">
                  <c:v>1.1037739795048114</c:v>
                </c:pt>
                <c:pt idx="37">
                  <c:v>1.0936918112808245</c:v>
                </c:pt>
                <c:pt idx="38">
                  <c:v>1.1115997745931947</c:v>
                </c:pt>
                <c:pt idx="39">
                  <c:v>1.1389997078977172</c:v>
                </c:pt>
                <c:pt idx="40">
                  <c:v>1.1487673478654663</c:v>
                </c:pt>
                <c:pt idx="41">
                  <c:v>1.14997488111683</c:v>
                </c:pt>
                <c:pt idx="42">
                  <c:v>1.1614160611529658</c:v>
                </c:pt>
                <c:pt idx="43">
                  <c:v>1.1649898627534716</c:v>
                </c:pt>
                <c:pt idx="44">
                  <c:v>1.1345957762135885</c:v>
                </c:pt>
                <c:pt idx="45">
                  <c:v>1.1332796790665094</c:v>
                </c:pt>
                <c:pt idx="46">
                  <c:v>1.1074002138473693</c:v>
                </c:pt>
                <c:pt idx="47">
                  <c:v>1.1390538144612605</c:v>
                </c:pt>
                <c:pt idx="48">
                  <c:v>1.159764789371629</c:v>
                </c:pt>
                <c:pt idx="49">
                  <c:v>1.1720656181425657</c:v>
                </c:pt>
                <c:pt idx="50">
                  <c:v>1.1784850396780733</c:v>
                </c:pt>
                <c:pt idx="51">
                  <c:v>1.1829558615653919</c:v>
                </c:pt>
                <c:pt idx="52">
                  <c:v>1.1928251143760251</c:v>
                </c:pt>
                <c:pt idx="53">
                  <c:v>1.1885067783209704</c:v>
                </c:pt>
                <c:pt idx="54">
                  <c:v>1.1839354752878524</c:v>
                </c:pt>
                <c:pt idx="55">
                  <c:v>1.1880317323575111</c:v>
                </c:pt>
                <c:pt idx="56">
                  <c:v>1.1914794852098665</c:v>
                </c:pt>
                <c:pt idx="57">
                  <c:v>1.1949203226961254</c:v>
                </c:pt>
                <c:pt idx="58">
                  <c:v>1.1929099584427392</c:v>
                </c:pt>
                <c:pt idx="59">
                  <c:v>1.1863285311757332</c:v>
                </c:pt>
                <c:pt idx="60">
                  <c:v>1.1787030684319741</c:v>
                </c:pt>
                <c:pt idx="61">
                  <c:v>1.1501545542147684</c:v>
                </c:pt>
                <c:pt idx="62">
                  <c:v>1.1490889446225558</c:v>
                </c:pt>
                <c:pt idx="63">
                  <c:v>1.1654839203447462</c:v>
                </c:pt>
                <c:pt idx="64">
                  <c:v>1.1194274287253734</c:v>
                </c:pt>
                <c:pt idx="65">
                  <c:v>1.1209844140076592</c:v>
                </c:pt>
                <c:pt idx="66">
                  <c:v>1.1549634534108586</c:v>
                </c:pt>
                <c:pt idx="67">
                  <c:v>1.1364531402608127</c:v>
                </c:pt>
                <c:pt idx="68">
                  <c:v>1.1129287167845596</c:v>
                </c:pt>
                <c:pt idx="69">
                  <c:v>1.0988619399341526</c:v>
                </c:pt>
                <c:pt idx="70">
                  <c:v>1.1121183694367638</c:v>
                </c:pt>
                <c:pt idx="71">
                  <c:v>1.0808502950883903</c:v>
                </c:pt>
                <c:pt idx="72">
                  <c:v>1.1282820447528346</c:v>
                </c:pt>
                <c:pt idx="73">
                  <c:v>1.1296661886594026</c:v>
                </c:pt>
                <c:pt idx="74">
                  <c:v>1.1542586738142344</c:v>
                </c:pt>
                <c:pt idx="75">
                  <c:v>1.1430203430082699</c:v>
                </c:pt>
                <c:pt idx="76">
                  <c:v>1.149745264842563</c:v>
                </c:pt>
                <c:pt idx="77">
                  <c:v>1.149459984489736</c:v>
                </c:pt>
                <c:pt idx="78">
                  <c:v>1.1585232117295534</c:v>
                </c:pt>
                <c:pt idx="79">
                  <c:v>1.1275582703655966</c:v>
                </c:pt>
                <c:pt idx="80">
                  <c:v>1.1318586225412997</c:v>
                </c:pt>
                <c:pt idx="81">
                  <c:v>1.1415781491134862</c:v>
                </c:pt>
                <c:pt idx="82">
                  <c:v>1.1381131383490084</c:v>
                </c:pt>
                <c:pt idx="83">
                  <c:v>1.1210942885594795</c:v>
                </c:pt>
                <c:pt idx="84">
                  <c:v>1.1208462735042426</c:v>
                </c:pt>
                <c:pt idx="85">
                  <c:v>1.1269510434141101</c:v>
                </c:pt>
                <c:pt idx="86">
                  <c:v>1.1306567982937563</c:v>
                </c:pt>
                <c:pt idx="87">
                  <c:v>1.1317698736198758</c:v>
                </c:pt>
                <c:pt idx="88">
                  <c:v>1.1479722289561336</c:v>
                </c:pt>
                <c:pt idx="89">
                  <c:v>1.1681490970787216</c:v>
                </c:pt>
                <c:pt idx="90">
                  <c:v>1.1999315601637219</c:v>
                </c:pt>
                <c:pt idx="91">
                  <c:v>1.1963129240541506</c:v>
                </c:pt>
                <c:pt idx="92">
                  <c:v>1.206496555279813</c:v>
                </c:pt>
                <c:pt idx="93">
                  <c:v>1.2164362256951569</c:v>
                </c:pt>
                <c:pt idx="94">
                  <c:v>1.225788279230724</c:v>
                </c:pt>
                <c:pt idx="95">
                  <c:v>1.2327580083144258</c:v>
                </c:pt>
                <c:pt idx="96">
                  <c:v>1.2519069925690303</c:v>
                </c:pt>
                <c:pt idx="97">
                  <c:v>1.2307271917814964</c:v>
                </c:pt>
                <c:pt idx="98">
                  <c:v>1.2524228308849481</c:v>
                </c:pt>
                <c:pt idx="99">
                  <c:v>1.2534702213405009</c:v>
                </c:pt>
                <c:pt idx="100">
                  <c:v>1.2406934242949168</c:v>
                </c:pt>
                <c:pt idx="101">
                  <c:v>1.2322059301582475</c:v>
                </c:pt>
                <c:pt idx="102">
                  <c:v>1.243636402711338</c:v>
                </c:pt>
                <c:pt idx="103">
                  <c:v>1.2213084531926202</c:v>
                </c:pt>
                <c:pt idx="104">
                  <c:v>1.2421603358089248</c:v>
                </c:pt>
                <c:pt idx="105">
                  <c:v>1.2500886620351277</c:v>
                </c:pt>
                <c:pt idx="106">
                  <c:v>1.2425273751343362</c:v>
                </c:pt>
                <c:pt idx="107">
                  <c:v>1.2466811682172116</c:v>
                </c:pt>
                <c:pt idx="108">
                  <c:v>1.260631476338633</c:v>
                </c:pt>
                <c:pt idx="109">
                  <c:v>1.2554140652748964</c:v>
                </c:pt>
                <c:pt idx="110">
                  <c:v>1.2463195404636001</c:v>
                </c:pt>
                <c:pt idx="111">
                  <c:v>1.2282995102835874</c:v>
                </c:pt>
                <c:pt idx="112">
                  <c:v>1.2290942891013075</c:v>
                </c:pt>
                <c:pt idx="113">
                  <c:v>1.2426165133883607</c:v>
                </c:pt>
                <c:pt idx="114">
                  <c:v>1.2505559737341516</c:v>
                </c:pt>
                <c:pt idx="115">
                  <c:v>1.2178759049247008</c:v>
                </c:pt>
                <c:pt idx="116">
                  <c:v>1.2073381086511366</c:v>
                </c:pt>
                <c:pt idx="117">
                  <c:v>1.1774635295511757</c:v>
                </c:pt>
                <c:pt idx="118">
                  <c:v>1.1864573374214784</c:v>
                </c:pt>
                <c:pt idx="119">
                  <c:v>1.214899270148539</c:v>
                </c:pt>
                <c:pt idx="120">
                  <c:v>1.2114493067168848</c:v>
                </c:pt>
                <c:pt idx="121">
                  <c:v>1.1997085504235812</c:v>
                </c:pt>
                <c:pt idx="122">
                  <c:v>1.1977509338226955</c:v>
                </c:pt>
                <c:pt idx="123">
                  <c:v>1.2176504307356537</c:v>
                </c:pt>
                <c:pt idx="124">
                  <c:v>1.215484745074962</c:v>
                </c:pt>
                <c:pt idx="125">
                  <c:v>1.2430630119239474</c:v>
                </c:pt>
                <c:pt idx="126">
                  <c:v>1.2425163303609887</c:v>
                </c:pt>
                <c:pt idx="127">
                  <c:v>1.2483093806582006</c:v>
                </c:pt>
                <c:pt idx="128">
                  <c:v>1.2477558071832535</c:v>
                </c:pt>
                <c:pt idx="129">
                  <c:v>1.2504241312724147</c:v>
                </c:pt>
                <c:pt idx="130">
                  <c:v>1.2531678058437987</c:v>
                </c:pt>
                <c:pt idx="131">
                  <c:v>1.2533700987844933</c:v>
                </c:pt>
                <c:pt idx="132">
                  <c:v>1.242187855439874</c:v>
                </c:pt>
                <c:pt idx="133">
                  <c:v>1.2646821595020676</c:v>
                </c:pt>
                <c:pt idx="134">
                  <c:v>1.2690188374155542</c:v>
                </c:pt>
                <c:pt idx="135">
                  <c:v>1.2686863098224301</c:v>
                </c:pt>
                <c:pt idx="136">
                  <c:v>1.2660252795983165</c:v>
                </c:pt>
                <c:pt idx="137">
                  <c:v>1.2721888137611472</c:v>
                </c:pt>
                <c:pt idx="138">
                  <c:v>1.2760572321300656</c:v>
                </c:pt>
                <c:pt idx="139">
                  <c:v>1.2839746612722036</c:v>
                </c:pt>
                <c:pt idx="140">
                  <c:v>1.2735091762945985</c:v>
                </c:pt>
                <c:pt idx="141">
                  <c:v>1.273169686458032</c:v>
                </c:pt>
                <c:pt idx="142">
                  <c:v>1.2854838511321773</c:v>
                </c:pt>
                <c:pt idx="143">
                  <c:v>1.2740116868800797</c:v>
                </c:pt>
                <c:pt idx="144">
                  <c:v>1.2814474240684741</c:v>
                </c:pt>
                <c:pt idx="145">
                  <c:v>1.2934690685346131</c:v>
                </c:pt>
                <c:pt idx="146">
                  <c:v>1.3006137083410283</c:v>
                </c:pt>
                <c:pt idx="147">
                  <c:v>1.3090867284511594</c:v>
                </c:pt>
                <c:pt idx="148">
                  <c:v>1.3051822758763139</c:v>
                </c:pt>
                <c:pt idx="149">
                  <c:v>1.3250720564929293</c:v>
                </c:pt>
                <c:pt idx="150">
                  <c:v>1.3235498521672768</c:v>
                </c:pt>
                <c:pt idx="151">
                  <c:v>1.3226144832408366</c:v>
                </c:pt>
                <c:pt idx="152">
                  <c:v>1.3306673241420133</c:v>
                </c:pt>
                <c:pt idx="153">
                  <c:v>1.3461335180347964</c:v>
                </c:pt>
                <c:pt idx="154">
                  <c:v>1.3493335129400637</c:v>
                </c:pt>
                <c:pt idx="155">
                  <c:v>1.3485575438528608</c:v>
                </c:pt>
                <c:pt idx="156">
                  <c:v>1.3363291518922022</c:v>
                </c:pt>
                <c:pt idx="157">
                  <c:v>1.3496424714576714</c:v>
                </c:pt>
                <c:pt idx="158">
                  <c:v>1.3638524388565441</c:v>
                </c:pt>
                <c:pt idx="159">
                  <c:v>1.3577659798760271</c:v>
                </c:pt>
                <c:pt idx="160">
                  <c:v>1.355175441422465</c:v>
                </c:pt>
                <c:pt idx="161">
                  <c:v>1.3423984237974049</c:v>
                </c:pt>
                <c:pt idx="162">
                  <c:v>1.3266009940291337</c:v>
                </c:pt>
                <c:pt idx="163">
                  <c:v>1.3118183359522475</c:v>
                </c:pt>
                <c:pt idx="164">
                  <c:v>1.3285266119633037</c:v>
                </c:pt>
                <c:pt idx="165">
                  <c:v>1.3433814633434586</c:v>
                </c:pt>
                <c:pt idx="166">
                  <c:v>1.3497247505058974</c:v>
                </c:pt>
                <c:pt idx="167">
                  <c:v>1.3694683171846609</c:v>
                </c:pt>
                <c:pt idx="168">
                  <c:v>1.3771213352554814</c:v>
                </c:pt>
                <c:pt idx="169">
                  <c:v>1.3616171031366588</c:v>
                </c:pt>
                <c:pt idx="170">
                  <c:v>1.3681903197670615</c:v>
                </c:pt>
                <c:pt idx="171">
                  <c:v>1.3714848437204867</c:v>
                </c:pt>
                <c:pt idx="172">
                  <c:v>1.3576855338182969</c:v>
                </c:pt>
                <c:pt idx="173">
                  <c:v>1.3627944187554235</c:v>
                </c:pt>
                <c:pt idx="174">
                  <c:v>1.3712041086171105</c:v>
                </c:pt>
                <c:pt idx="175">
                  <c:v>1.3731217656011669</c:v>
                </c:pt>
                <c:pt idx="176">
                  <c:v>1.385046725683174</c:v>
                </c:pt>
                <c:pt idx="177">
                  <c:v>1.3841485290063333</c:v>
                </c:pt>
                <c:pt idx="178">
                  <c:v>1.3882292308709299</c:v>
                </c:pt>
                <c:pt idx="179">
                  <c:v>1.3849863123294062</c:v>
                </c:pt>
                <c:pt idx="180">
                  <c:v>1.3834864913048566</c:v>
                </c:pt>
                <c:pt idx="181">
                  <c:v>1.3952936696711815</c:v>
                </c:pt>
                <c:pt idx="182">
                  <c:v>1.395929234500116</c:v>
                </c:pt>
                <c:pt idx="183">
                  <c:v>1.3927671839733546</c:v>
                </c:pt>
                <c:pt idx="184">
                  <c:v>1.3728420911122956</c:v>
                </c:pt>
                <c:pt idx="185">
                  <c:v>1.3631237587212062</c:v>
                </c:pt>
                <c:pt idx="186">
                  <c:v>1.3673367548915092</c:v>
                </c:pt>
                <c:pt idx="187">
                  <c:v>1.3876020958523976</c:v>
                </c:pt>
                <c:pt idx="188">
                  <c:v>1.4146769578457001</c:v>
                </c:pt>
                <c:pt idx="189">
                  <c:v>1.4188380591123899</c:v>
                </c:pt>
                <c:pt idx="190">
                  <c:v>1.4271167982182964</c:v>
                </c:pt>
                <c:pt idx="191">
                  <c:v>1.4190732194494884</c:v>
                </c:pt>
                <c:pt idx="192">
                  <c:v>1.4384491172275331</c:v>
                </c:pt>
                <c:pt idx="193">
                  <c:v>1.4527406199899553</c:v>
                </c:pt>
                <c:pt idx="194">
                  <c:v>1.4503541824150088</c:v>
                </c:pt>
                <c:pt idx="195">
                  <c:v>1.4528664465851184</c:v>
                </c:pt>
                <c:pt idx="196">
                  <c:v>1.4462844312470695</c:v>
                </c:pt>
                <c:pt idx="197">
                  <c:v>1.450246054146906</c:v>
                </c:pt>
                <c:pt idx="198">
                  <c:v>1.4575148886778799</c:v>
                </c:pt>
                <c:pt idx="199">
                  <c:v>1.4508674003419699</c:v>
                </c:pt>
                <c:pt idx="200">
                  <c:v>1.446503335168172</c:v>
                </c:pt>
                <c:pt idx="201">
                  <c:v>1.4310992862477536</c:v>
                </c:pt>
                <c:pt idx="202">
                  <c:v>1.4365900887787142</c:v>
                </c:pt>
                <c:pt idx="203">
                  <c:v>1.4339709204165014</c:v>
                </c:pt>
                <c:pt idx="204">
                  <c:v>1.4457329283168077</c:v>
                </c:pt>
                <c:pt idx="205">
                  <c:v>1.443024260801919</c:v>
                </c:pt>
                <c:pt idx="206">
                  <c:v>1.4248275522557423</c:v>
                </c:pt>
                <c:pt idx="207">
                  <c:v>1.3901628852916197</c:v>
                </c:pt>
                <c:pt idx="208">
                  <c:v>1.3946417870306489</c:v>
                </c:pt>
                <c:pt idx="209">
                  <c:v>1.4082089951915537</c:v>
                </c:pt>
                <c:pt idx="210">
                  <c:v>1.4247462882738369</c:v>
                </c:pt>
                <c:pt idx="211">
                  <c:v>1.4324170802777114</c:v>
                </c:pt>
                <c:pt idx="212">
                  <c:v>1.4301543716830902</c:v>
                </c:pt>
                <c:pt idx="213">
                  <c:v>1.3900020368172354</c:v>
                </c:pt>
                <c:pt idx="214">
                  <c:v>1.386023721258471</c:v>
                </c:pt>
                <c:pt idx="215">
                  <c:v>1.3774729470341103</c:v>
                </c:pt>
                <c:pt idx="216">
                  <c:v>1.3945752580099544</c:v>
                </c:pt>
                <c:pt idx="217">
                  <c:v>1.3655400574515157</c:v>
                </c:pt>
                <c:pt idx="218">
                  <c:v>1.388598645260513</c:v>
                </c:pt>
                <c:pt idx="219">
                  <c:v>1.3997680869302112</c:v>
                </c:pt>
                <c:pt idx="220">
                  <c:v>1.4126312050538177</c:v>
                </c:pt>
                <c:pt idx="221">
                  <c:v>1.4109201536220217</c:v>
                </c:pt>
                <c:pt idx="222">
                  <c:v>1.4007442222453597</c:v>
                </c:pt>
                <c:pt idx="223">
                  <c:v>1.3935740200650297</c:v>
                </c:pt>
                <c:pt idx="224">
                  <c:v>1.3977729427018477</c:v>
                </c:pt>
                <c:pt idx="225">
                  <c:v>1.4249276408871843</c:v>
                </c:pt>
                <c:pt idx="226">
                  <c:v>1.4391025863403633</c:v>
                </c:pt>
                <c:pt idx="227">
                  <c:v>1.4577971068951392</c:v>
                </c:pt>
                <c:pt idx="228">
                  <c:v>1.4654187810402872</c:v>
                </c:pt>
                <c:pt idx="229">
                  <c:v>1.4635878749700826</c:v>
                </c:pt>
                <c:pt idx="230">
                  <c:v>1.4757555064923498</c:v>
                </c:pt>
                <c:pt idx="231">
                  <c:v>1.4615241396487726</c:v>
                </c:pt>
                <c:pt idx="232">
                  <c:v>1.4886318708901709</c:v>
                </c:pt>
                <c:pt idx="233">
                  <c:v>1.501580317130617</c:v>
                </c:pt>
                <c:pt idx="234">
                  <c:v>1.5197251225851418</c:v>
                </c:pt>
                <c:pt idx="235">
                  <c:v>1.5410637062688226</c:v>
                </c:pt>
                <c:pt idx="236">
                  <c:v>1.5579552506896199</c:v>
                </c:pt>
                <c:pt idx="237">
                  <c:v>1.5672705742092925</c:v>
                </c:pt>
                <c:pt idx="238">
                  <c:v>1.57198811374144</c:v>
                </c:pt>
                <c:pt idx="239">
                  <c:v>1.5901391647837542</c:v>
                </c:pt>
                <c:pt idx="240">
                  <c:v>1.624836813562982</c:v>
                </c:pt>
                <c:pt idx="241">
                  <c:v>1.6276413375771399</c:v>
                </c:pt>
                <c:pt idx="242">
                  <c:v>1.6230744872125256</c:v>
                </c:pt>
                <c:pt idx="243">
                  <c:v>1.5924277210988804</c:v>
                </c:pt>
                <c:pt idx="244">
                  <c:v>1.5744046929959108</c:v>
                </c:pt>
                <c:pt idx="245">
                  <c:v>1.5807743924734108</c:v>
                </c:pt>
                <c:pt idx="246">
                  <c:v>1.5916725037094015</c:v>
                </c:pt>
                <c:pt idx="247">
                  <c:v>1.5862169916753204</c:v>
                </c:pt>
                <c:pt idx="248">
                  <c:v>1.5939864757260298</c:v>
                </c:pt>
                <c:pt idx="249">
                  <c:v>1.5940888607955406</c:v>
                </c:pt>
                <c:pt idx="250">
                  <c:v>1.6250787564070772</c:v>
                </c:pt>
                <c:pt idx="251">
                  <c:v>1.6443026016238207</c:v>
                </c:pt>
              </c:numCache>
            </c:numRef>
          </c:val>
          <c:smooth val="0"/>
        </c:ser>
        <c:ser>
          <c:idx val="1"/>
          <c:order val="1"/>
          <c:tx>
            <c:v>Risk Parity</c:v>
          </c:tx>
          <c:spPr>
            <a:ln w="28575" cap="rnd">
              <a:solidFill>
                <a:schemeClr val="accent2"/>
              </a:solidFill>
              <a:round/>
            </a:ln>
            <a:effectLst/>
          </c:spPr>
          <c:marker>
            <c:symbol val="none"/>
          </c:marker>
          <c:cat>
            <c:numRef>
              <c:f>PCA!$BA$5:$BA$256</c:f>
              <c:numCache>
                <c:formatCode>General</c:formatCode>
                <c:ptCount val="2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numCache>
            </c:numRef>
          </c:cat>
          <c:val>
            <c:numRef>
              <c:f>PCA!$BC$5:$BC$256</c:f>
              <c:numCache>
                <c:formatCode>General</c:formatCode>
                <c:ptCount val="252"/>
                <c:pt idx="0">
                  <c:v>0.99999999999999967</c:v>
                </c:pt>
                <c:pt idx="1">
                  <c:v>1.0037414178554334</c:v>
                </c:pt>
                <c:pt idx="2">
                  <c:v>1.0253057586266816</c:v>
                </c:pt>
                <c:pt idx="3">
                  <c:v>1.0291609923910252</c:v>
                </c:pt>
                <c:pt idx="4">
                  <c:v>1.0334146854838833</c:v>
                </c:pt>
                <c:pt idx="5">
                  <c:v>1.023546020760961</c:v>
                </c:pt>
                <c:pt idx="6">
                  <c:v>1.0412144428570669</c:v>
                </c:pt>
                <c:pt idx="7">
                  <c:v>1.0463769229246827</c:v>
                </c:pt>
                <c:pt idx="8">
                  <c:v>1.0442152568286374</c:v>
                </c:pt>
                <c:pt idx="9">
                  <c:v>1.0449907879311564</c:v>
                </c:pt>
                <c:pt idx="10">
                  <c:v>1.0491522147678449</c:v>
                </c:pt>
                <c:pt idx="11">
                  <c:v>1.0491601907238728</c:v>
                </c:pt>
                <c:pt idx="12">
                  <c:v>1.0287674570528107</c:v>
                </c:pt>
                <c:pt idx="13">
                  <c:v>1.0291356931622089</c:v>
                </c:pt>
                <c:pt idx="14">
                  <c:v>1.0274767947099701</c:v>
                </c:pt>
                <c:pt idx="15">
                  <c:v>1.0267062397611126</c:v>
                </c:pt>
                <c:pt idx="16">
                  <c:v>1.0361770238976125</c:v>
                </c:pt>
                <c:pt idx="17">
                  <c:v>1.0382377352503465</c:v>
                </c:pt>
                <c:pt idx="18">
                  <c:v>1.0411364158353098</c:v>
                </c:pt>
                <c:pt idx="19">
                  <c:v>1.038304812040213</c:v>
                </c:pt>
                <c:pt idx="20">
                  <c:v>1.0425342387477707</c:v>
                </c:pt>
                <c:pt idx="21">
                  <c:v>1.0386654041084098</c:v>
                </c:pt>
                <c:pt idx="22">
                  <c:v>1.0410954387399927</c:v>
                </c:pt>
                <c:pt idx="23">
                  <c:v>1.0455518111982796</c:v>
                </c:pt>
                <c:pt idx="24">
                  <c:v>1.06405657393229</c:v>
                </c:pt>
                <c:pt idx="25">
                  <c:v>1.0621651923303557</c:v>
                </c:pt>
                <c:pt idx="26">
                  <c:v>1.0585212445107217</c:v>
                </c:pt>
                <c:pt idx="27">
                  <c:v>1.0631077515120682</c:v>
                </c:pt>
                <c:pt idx="28">
                  <c:v>1.0497320837586865</c:v>
                </c:pt>
                <c:pt idx="29">
                  <c:v>1.0562846771967331</c:v>
                </c:pt>
                <c:pt idx="30">
                  <c:v>1.0488849102522411</c:v>
                </c:pt>
                <c:pt idx="31">
                  <c:v>1.0797533519052886</c:v>
                </c:pt>
                <c:pt idx="32">
                  <c:v>1.0909091483580591</c:v>
                </c:pt>
                <c:pt idx="33">
                  <c:v>1.0733617715702104</c:v>
                </c:pt>
                <c:pt idx="34">
                  <c:v>1.0724653285077141</c:v>
                </c:pt>
                <c:pt idx="35">
                  <c:v>1.07964400659736</c:v>
                </c:pt>
                <c:pt idx="36">
                  <c:v>1.0698068379219907</c:v>
                </c:pt>
                <c:pt idx="37">
                  <c:v>1.0618211530418726</c:v>
                </c:pt>
                <c:pt idx="38">
                  <c:v>1.0775684087084674</c:v>
                </c:pt>
                <c:pt idx="39">
                  <c:v>1.1042163700599297</c:v>
                </c:pt>
                <c:pt idx="40">
                  <c:v>1.112571575941715</c:v>
                </c:pt>
                <c:pt idx="41">
                  <c:v>1.1136247396547545</c:v>
                </c:pt>
                <c:pt idx="42">
                  <c:v>1.1213999260845113</c:v>
                </c:pt>
                <c:pt idx="43">
                  <c:v>1.1251156126556563</c:v>
                </c:pt>
                <c:pt idx="44">
                  <c:v>1.0969505566484234</c:v>
                </c:pt>
                <c:pt idx="45">
                  <c:v>1.1010301849672641</c:v>
                </c:pt>
                <c:pt idx="46">
                  <c:v>1.078535560055091</c:v>
                </c:pt>
                <c:pt idx="47">
                  <c:v>1.1058171884370207</c:v>
                </c:pt>
                <c:pt idx="48">
                  <c:v>1.1229332298775749</c:v>
                </c:pt>
                <c:pt idx="49">
                  <c:v>1.1386985430353134</c:v>
                </c:pt>
                <c:pt idx="50">
                  <c:v>1.1462657394960853</c:v>
                </c:pt>
                <c:pt idx="51">
                  <c:v>1.150639015134328</c:v>
                </c:pt>
                <c:pt idx="52">
                  <c:v>1.1576071905055019</c:v>
                </c:pt>
                <c:pt idx="53">
                  <c:v>1.1559827607670863</c:v>
                </c:pt>
                <c:pt idx="54">
                  <c:v>1.1547605046178291</c:v>
                </c:pt>
                <c:pt idx="55">
                  <c:v>1.1567875538030119</c:v>
                </c:pt>
                <c:pt idx="56">
                  <c:v>1.161669337993289</c:v>
                </c:pt>
                <c:pt idx="57">
                  <c:v>1.1671611144172203</c:v>
                </c:pt>
                <c:pt idx="58">
                  <c:v>1.1664982351674562</c:v>
                </c:pt>
                <c:pt idx="59">
                  <c:v>1.1610788732227377</c:v>
                </c:pt>
                <c:pt idx="60">
                  <c:v>1.1535739760098704</c:v>
                </c:pt>
                <c:pt idx="61">
                  <c:v>1.1344615530312503</c:v>
                </c:pt>
                <c:pt idx="62">
                  <c:v>1.1356922921339181</c:v>
                </c:pt>
                <c:pt idx="63">
                  <c:v>1.1475532757881606</c:v>
                </c:pt>
                <c:pt idx="64">
                  <c:v>1.1098209276264819</c:v>
                </c:pt>
                <c:pt idx="65">
                  <c:v>1.1098848525722267</c:v>
                </c:pt>
                <c:pt idx="66">
                  <c:v>1.1417330569424415</c:v>
                </c:pt>
                <c:pt idx="67">
                  <c:v>1.1280358009819311</c:v>
                </c:pt>
                <c:pt idx="68">
                  <c:v>1.1102235208572717</c:v>
                </c:pt>
                <c:pt idx="69">
                  <c:v>1.0989923924360769</c:v>
                </c:pt>
                <c:pt idx="70">
                  <c:v>1.1173219252532207</c:v>
                </c:pt>
                <c:pt idx="71">
                  <c:v>1.0936993562592137</c:v>
                </c:pt>
                <c:pt idx="72">
                  <c:v>1.1264701825797159</c:v>
                </c:pt>
                <c:pt idx="73">
                  <c:v>1.1302802278473594</c:v>
                </c:pt>
                <c:pt idx="74">
                  <c:v>1.1491448033683964</c:v>
                </c:pt>
                <c:pt idx="75">
                  <c:v>1.1387951033283283</c:v>
                </c:pt>
                <c:pt idx="76">
                  <c:v>1.1408684531411653</c:v>
                </c:pt>
                <c:pt idx="77">
                  <c:v>1.1428662722866438</c:v>
                </c:pt>
                <c:pt idx="78">
                  <c:v>1.148980801968013</c:v>
                </c:pt>
                <c:pt idx="79">
                  <c:v>1.1250217154200062</c:v>
                </c:pt>
                <c:pt idx="80">
                  <c:v>1.1275051357623662</c:v>
                </c:pt>
                <c:pt idx="81">
                  <c:v>1.1343148195395156</c:v>
                </c:pt>
                <c:pt idx="82">
                  <c:v>1.1317906976799676</c:v>
                </c:pt>
                <c:pt idx="83">
                  <c:v>1.1203218981688643</c:v>
                </c:pt>
                <c:pt idx="84">
                  <c:v>1.1195515279199157</c:v>
                </c:pt>
                <c:pt idx="85">
                  <c:v>1.1293400743735205</c:v>
                </c:pt>
                <c:pt idx="86">
                  <c:v>1.1334460453886623</c:v>
                </c:pt>
                <c:pt idx="87">
                  <c:v>1.1318193134513912</c:v>
                </c:pt>
                <c:pt idx="88">
                  <c:v>1.142101062968047</c:v>
                </c:pt>
                <c:pt idx="89">
                  <c:v>1.1634096083887286</c:v>
                </c:pt>
                <c:pt idx="90">
                  <c:v>1.1933564255772058</c:v>
                </c:pt>
                <c:pt idx="91">
                  <c:v>1.1900374280697759</c:v>
                </c:pt>
                <c:pt idx="92">
                  <c:v>1.2021233922192913</c:v>
                </c:pt>
                <c:pt idx="93">
                  <c:v>1.2105163572671227</c:v>
                </c:pt>
                <c:pt idx="94">
                  <c:v>1.2216657317665021</c:v>
                </c:pt>
                <c:pt idx="95">
                  <c:v>1.2238326357725593</c:v>
                </c:pt>
                <c:pt idx="96">
                  <c:v>1.234744286334885</c:v>
                </c:pt>
                <c:pt idx="97">
                  <c:v>1.2179600478741441</c:v>
                </c:pt>
                <c:pt idx="98">
                  <c:v>1.2372541609806802</c:v>
                </c:pt>
                <c:pt idx="99">
                  <c:v>1.2400843902762695</c:v>
                </c:pt>
                <c:pt idx="100">
                  <c:v>1.2312008397359562</c:v>
                </c:pt>
                <c:pt idx="101">
                  <c:v>1.2216402824260271</c:v>
                </c:pt>
                <c:pt idx="102">
                  <c:v>1.2313607514826623</c:v>
                </c:pt>
                <c:pt idx="103">
                  <c:v>1.2119705468968704</c:v>
                </c:pt>
                <c:pt idx="104">
                  <c:v>1.2318903308949356</c:v>
                </c:pt>
                <c:pt idx="105">
                  <c:v>1.2379598691829576</c:v>
                </c:pt>
                <c:pt idx="106">
                  <c:v>1.2352628910783598</c:v>
                </c:pt>
                <c:pt idx="107">
                  <c:v>1.2401718143431752</c:v>
                </c:pt>
                <c:pt idx="108">
                  <c:v>1.2563430462403917</c:v>
                </c:pt>
                <c:pt idx="109">
                  <c:v>1.2476252661767961</c:v>
                </c:pt>
                <c:pt idx="110">
                  <c:v>1.2429117861886971</c:v>
                </c:pt>
                <c:pt idx="111">
                  <c:v>1.2277266965281164</c:v>
                </c:pt>
                <c:pt idx="112">
                  <c:v>1.2294233729059592</c:v>
                </c:pt>
                <c:pt idx="113">
                  <c:v>1.2461025971286888</c:v>
                </c:pt>
                <c:pt idx="114">
                  <c:v>1.2529908175873961</c:v>
                </c:pt>
                <c:pt idx="115">
                  <c:v>1.2270261424526541</c:v>
                </c:pt>
                <c:pt idx="116">
                  <c:v>1.2152978498662308</c:v>
                </c:pt>
                <c:pt idx="117">
                  <c:v>1.1883096225713343</c:v>
                </c:pt>
                <c:pt idx="118">
                  <c:v>1.2015902646529442</c:v>
                </c:pt>
                <c:pt idx="119">
                  <c:v>1.2278586827397666</c:v>
                </c:pt>
                <c:pt idx="120">
                  <c:v>1.2255413738424186</c:v>
                </c:pt>
                <c:pt idx="121">
                  <c:v>1.2133797522946665</c:v>
                </c:pt>
                <c:pt idx="122">
                  <c:v>1.2122881411524065</c:v>
                </c:pt>
                <c:pt idx="123">
                  <c:v>1.2283201660868517</c:v>
                </c:pt>
                <c:pt idx="124">
                  <c:v>1.2260583178985331</c:v>
                </c:pt>
                <c:pt idx="125">
                  <c:v>1.2500400961186409</c:v>
                </c:pt>
                <c:pt idx="126">
                  <c:v>1.2486569027766408</c:v>
                </c:pt>
                <c:pt idx="127">
                  <c:v>1.2527931957379717</c:v>
                </c:pt>
                <c:pt idx="128">
                  <c:v>1.2517058728547692</c:v>
                </c:pt>
                <c:pt idx="129">
                  <c:v>1.2530407310067653</c:v>
                </c:pt>
                <c:pt idx="130">
                  <c:v>1.2559904157564334</c:v>
                </c:pt>
                <c:pt idx="131">
                  <c:v>1.2567609364684544</c:v>
                </c:pt>
                <c:pt idx="132">
                  <c:v>1.2490818080742605</c:v>
                </c:pt>
                <c:pt idx="133">
                  <c:v>1.2675209195312709</c:v>
                </c:pt>
                <c:pt idx="134">
                  <c:v>1.2701606925800109</c:v>
                </c:pt>
                <c:pt idx="135">
                  <c:v>1.2704642150670793</c:v>
                </c:pt>
                <c:pt idx="136">
                  <c:v>1.2686047685843467</c:v>
                </c:pt>
                <c:pt idx="137">
                  <c:v>1.2725075914496702</c:v>
                </c:pt>
                <c:pt idx="138">
                  <c:v>1.2758082164033719</c:v>
                </c:pt>
                <c:pt idx="139">
                  <c:v>1.2810423816044016</c:v>
                </c:pt>
                <c:pt idx="140">
                  <c:v>1.272997363051374</c:v>
                </c:pt>
                <c:pt idx="141">
                  <c:v>1.2720245252706825</c:v>
                </c:pt>
                <c:pt idx="142">
                  <c:v>1.2789745807198949</c:v>
                </c:pt>
                <c:pt idx="143">
                  <c:v>1.2652098025267684</c:v>
                </c:pt>
                <c:pt idx="144">
                  <c:v>1.2749603949439523</c:v>
                </c:pt>
                <c:pt idx="145">
                  <c:v>1.285235597887364</c:v>
                </c:pt>
                <c:pt idx="146">
                  <c:v>1.2874587408152354</c:v>
                </c:pt>
                <c:pt idx="147">
                  <c:v>1.2932751859866094</c:v>
                </c:pt>
                <c:pt idx="148">
                  <c:v>1.2916181223664065</c:v>
                </c:pt>
                <c:pt idx="149">
                  <c:v>1.3059062220027871</c:v>
                </c:pt>
                <c:pt idx="150">
                  <c:v>1.305451954105266</c:v>
                </c:pt>
                <c:pt idx="151">
                  <c:v>1.3054373992329278</c:v>
                </c:pt>
                <c:pt idx="152">
                  <c:v>1.3136393888803599</c:v>
                </c:pt>
                <c:pt idx="153">
                  <c:v>1.3288036587784717</c:v>
                </c:pt>
                <c:pt idx="154">
                  <c:v>1.3331009605885615</c:v>
                </c:pt>
                <c:pt idx="155">
                  <c:v>1.3359517475626039</c:v>
                </c:pt>
                <c:pt idx="156">
                  <c:v>1.3224164225235104</c:v>
                </c:pt>
                <c:pt idx="157">
                  <c:v>1.336924363024182</c:v>
                </c:pt>
                <c:pt idx="158">
                  <c:v>1.346517143703672</c:v>
                </c:pt>
                <c:pt idx="159">
                  <c:v>1.3431204230630696</c:v>
                </c:pt>
                <c:pt idx="160">
                  <c:v>1.3436331213887778</c:v>
                </c:pt>
                <c:pt idx="161">
                  <c:v>1.3341164389243461</c:v>
                </c:pt>
                <c:pt idx="162">
                  <c:v>1.3207481200949924</c:v>
                </c:pt>
                <c:pt idx="163">
                  <c:v>1.3014734963151426</c:v>
                </c:pt>
                <c:pt idx="164">
                  <c:v>1.3187031419230508</c:v>
                </c:pt>
                <c:pt idx="165">
                  <c:v>1.3330614829449527</c:v>
                </c:pt>
                <c:pt idx="166">
                  <c:v>1.3390901348071744</c:v>
                </c:pt>
                <c:pt idx="167">
                  <c:v>1.3596248011571639</c:v>
                </c:pt>
                <c:pt idx="168">
                  <c:v>1.3666317902062763</c:v>
                </c:pt>
                <c:pt idx="169">
                  <c:v>1.3530490926076322</c:v>
                </c:pt>
                <c:pt idx="170">
                  <c:v>1.3575536426202781</c:v>
                </c:pt>
                <c:pt idx="171">
                  <c:v>1.3583495004900017</c:v>
                </c:pt>
                <c:pt idx="172">
                  <c:v>1.3429302341864642</c:v>
                </c:pt>
                <c:pt idx="173">
                  <c:v>1.3449299447142313</c:v>
                </c:pt>
                <c:pt idx="174">
                  <c:v>1.3546981339045188</c:v>
                </c:pt>
                <c:pt idx="175">
                  <c:v>1.3535493418649267</c:v>
                </c:pt>
                <c:pt idx="176">
                  <c:v>1.3647985587312592</c:v>
                </c:pt>
                <c:pt idx="177">
                  <c:v>1.3683867227516511</c:v>
                </c:pt>
                <c:pt idx="178">
                  <c:v>1.3715355666598288</c:v>
                </c:pt>
                <c:pt idx="179">
                  <c:v>1.3702848522891014</c:v>
                </c:pt>
                <c:pt idx="180">
                  <c:v>1.37064897797</c:v>
                </c:pt>
                <c:pt idx="181">
                  <c:v>1.3801965198253658</c:v>
                </c:pt>
                <c:pt idx="182">
                  <c:v>1.3800228187116239</c:v>
                </c:pt>
                <c:pt idx="183">
                  <c:v>1.3814536616258495</c:v>
                </c:pt>
                <c:pt idx="184">
                  <c:v>1.365093136996143</c:v>
                </c:pt>
                <c:pt idx="185">
                  <c:v>1.3529754267317733</c:v>
                </c:pt>
                <c:pt idx="186">
                  <c:v>1.3568893183673771</c:v>
                </c:pt>
                <c:pt idx="187">
                  <c:v>1.3741809911140694</c:v>
                </c:pt>
                <c:pt idx="188">
                  <c:v>1.3952910074198537</c:v>
                </c:pt>
                <c:pt idx="189">
                  <c:v>1.3997319136452377</c:v>
                </c:pt>
                <c:pt idx="190">
                  <c:v>1.406983367400594</c:v>
                </c:pt>
                <c:pt idx="191">
                  <c:v>1.3998607991781531</c:v>
                </c:pt>
                <c:pt idx="192">
                  <c:v>1.416700834044798</c:v>
                </c:pt>
                <c:pt idx="193">
                  <c:v>1.4282430640244912</c:v>
                </c:pt>
                <c:pt idx="194">
                  <c:v>1.4261410213893588</c:v>
                </c:pt>
                <c:pt idx="195">
                  <c:v>1.4283890087271145</c:v>
                </c:pt>
                <c:pt idx="196">
                  <c:v>1.4222410273024184</c:v>
                </c:pt>
                <c:pt idx="197">
                  <c:v>1.4237284351479631</c:v>
                </c:pt>
                <c:pt idx="198">
                  <c:v>1.4281145581266108</c:v>
                </c:pt>
                <c:pt idx="199">
                  <c:v>1.4226180432639302</c:v>
                </c:pt>
                <c:pt idx="200">
                  <c:v>1.4181080175852769</c:v>
                </c:pt>
                <c:pt idx="201">
                  <c:v>1.4029859986906783</c:v>
                </c:pt>
                <c:pt idx="202">
                  <c:v>1.4100068702441153</c:v>
                </c:pt>
                <c:pt idx="203">
                  <c:v>1.4062259018569625</c:v>
                </c:pt>
                <c:pt idx="204">
                  <c:v>1.417703266265848</c:v>
                </c:pt>
                <c:pt idx="205">
                  <c:v>1.4149924057243517</c:v>
                </c:pt>
                <c:pt idx="206">
                  <c:v>1.3968690789405425</c:v>
                </c:pt>
                <c:pt idx="207">
                  <c:v>1.3662497318519615</c:v>
                </c:pt>
                <c:pt idx="208">
                  <c:v>1.3689940005296088</c:v>
                </c:pt>
                <c:pt idx="209">
                  <c:v>1.3809298690141121</c:v>
                </c:pt>
                <c:pt idx="210">
                  <c:v>1.3974020626576233</c:v>
                </c:pt>
                <c:pt idx="211">
                  <c:v>1.403749985275486</c:v>
                </c:pt>
                <c:pt idx="212">
                  <c:v>1.4010405058342283</c:v>
                </c:pt>
                <c:pt idx="213">
                  <c:v>1.3633606590727363</c:v>
                </c:pt>
                <c:pt idx="214">
                  <c:v>1.3595624163892677</c:v>
                </c:pt>
                <c:pt idx="215">
                  <c:v>1.3492807570817609</c:v>
                </c:pt>
                <c:pt idx="216">
                  <c:v>1.3683763102319175</c:v>
                </c:pt>
                <c:pt idx="217">
                  <c:v>1.3409938020897494</c:v>
                </c:pt>
                <c:pt idx="218">
                  <c:v>1.3640304020969085</c:v>
                </c:pt>
                <c:pt idx="219">
                  <c:v>1.3754672894787665</c:v>
                </c:pt>
                <c:pt idx="220">
                  <c:v>1.3874881024295642</c:v>
                </c:pt>
                <c:pt idx="221">
                  <c:v>1.3878028084247849</c:v>
                </c:pt>
                <c:pt idx="222">
                  <c:v>1.376062159453437</c:v>
                </c:pt>
                <c:pt idx="223">
                  <c:v>1.3663611705428986</c:v>
                </c:pt>
                <c:pt idx="224">
                  <c:v>1.368998643804854</c:v>
                </c:pt>
                <c:pt idx="225">
                  <c:v>1.3950496297663664</c:v>
                </c:pt>
                <c:pt idx="226">
                  <c:v>1.4076223243510837</c:v>
                </c:pt>
                <c:pt idx="227">
                  <c:v>1.4216257714720444</c:v>
                </c:pt>
                <c:pt idx="228">
                  <c:v>1.4304351257059744</c:v>
                </c:pt>
                <c:pt idx="229">
                  <c:v>1.4296719241541092</c:v>
                </c:pt>
                <c:pt idx="230">
                  <c:v>1.4369160360496325</c:v>
                </c:pt>
                <c:pt idx="231">
                  <c:v>1.4219924887217705</c:v>
                </c:pt>
                <c:pt idx="232">
                  <c:v>1.4346248264386006</c:v>
                </c:pt>
                <c:pt idx="233">
                  <c:v>1.4449211568680143</c:v>
                </c:pt>
                <c:pt idx="234">
                  <c:v>1.4628076791107698</c:v>
                </c:pt>
                <c:pt idx="235">
                  <c:v>1.4789002868644558</c:v>
                </c:pt>
                <c:pt idx="236">
                  <c:v>1.4895625202334544</c:v>
                </c:pt>
                <c:pt idx="237">
                  <c:v>1.4861017864514878</c:v>
                </c:pt>
                <c:pt idx="238">
                  <c:v>1.4944753910756914</c:v>
                </c:pt>
                <c:pt idx="239">
                  <c:v>1.5075882949314434</c:v>
                </c:pt>
                <c:pt idx="240">
                  <c:v>1.530609990594002</c:v>
                </c:pt>
                <c:pt idx="241">
                  <c:v>1.5342319593510978</c:v>
                </c:pt>
                <c:pt idx="242">
                  <c:v>1.5337717584263024</c:v>
                </c:pt>
                <c:pt idx="243">
                  <c:v>1.518610593545235</c:v>
                </c:pt>
                <c:pt idx="244">
                  <c:v>1.4983927410401545</c:v>
                </c:pt>
                <c:pt idx="245">
                  <c:v>1.5024396068847359</c:v>
                </c:pt>
                <c:pt idx="246">
                  <c:v>1.5171132426099549</c:v>
                </c:pt>
                <c:pt idx="247">
                  <c:v>1.5141748548958338</c:v>
                </c:pt>
                <c:pt idx="248">
                  <c:v>1.5168284445532179</c:v>
                </c:pt>
                <c:pt idx="249">
                  <c:v>1.5154311223698635</c:v>
                </c:pt>
                <c:pt idx="250">
                  <c:v>1.5384874190620985</c:v>
                </c:pt>
                <c:pt idx="251">
                  <c:v>1.5484774168606528</c:v>
                </c:pt>
              </c:numCache>
            </c:numRef>
          </c:val>
          <c:smooth val="0"/>
        </c:ser>
        <c:ser>
          <c:idx val="2"/>
          <c:order val="2"/>
          <c:tx>
            <c:v>Equal weight portfolio</c:v>
          </c:tx>
          <c:spPr>
            <a:ln w="28575" cap="rnd">
              <a:solidFill>
                <a:schemeClr val="accent3"/>
              </a:solidFill>
              <a:round/>
            </a:ln>
            <a:effectLst/>
          </c:spPr>
          <c:marker>
            <c:symbol val="none"/>
          </c:marker>
          <c:cat>
            <c:numRef>
              <c:f>PCA!$BA$5:$BA$256</c:f>
              <c:numCache>
                <c:formatCode>General</c:formatCode>
                <c:ptCount val="2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numCache>
            </c:numRef>
          </c:cat>
          <c:val>
            <c:numRef>
              <c:f>PCA!$BD$5:$BD$256</c:f>
              <c:numCache>
                <c:formatCode>General</c:formatCode>
                <c:ptCount val="252"/>
                <c:pt idx="0">
                  <c:v>1.7117824290409649</c:v>
                </c:pt>
                <c:pt idx="1">
                  <c:v>1.731781181698848</c:v>
                </c:pt>
                <c:pt idx="2">
                  <c:v>1.7732887579148904</c:v>
                </c:pt>
                <c:pt idx="3">
                  <c:v>1.8025290998731651</c:v>
                </c:pt>
                <c:pt idx="4">
                  <c:v>1.821099468391242</c:v>
                </c:pt>
                <c:pt idx="5">
                  <c:v>1.8057282737589186</c:v>
                </c:pt>
                <c:pt idx="6">
                  <c:v>1.8428156870515568</c:v>
                </c:pt>
                <c:pt idx="7">
                  <c:v>1.8354956799092936</c:v>
                </c:pt>
                <c:pt idx="8">
                  <c:v>1.8512744066417617</c:v>
                </c:pt>
                <c:pt idx="9">
                  <c:v>1.857115797403788</c:v>
                </c:pt>
                <c:pt idx="10">
                  <c:v>1.9000020823725861</c:v>
                </c:pt>
                <c:pt idx="11">
                  <c:v>1.906268301802083</c:v>
                </c:pt>
                <c:pt idx="12">
                  <c:v>1.8345067142184424</c:v>
                </c:pt>
                <c:pt idx="13">
                  <c:v>1.8565068477555213</c:v>
                </c:pt>
                <c:pt idx="14">
                  <c:v>1.844640551751523</c:v>
                </c:pt>
                <c:pt idx="15">
                  <c:v>1.8771396088392116</c:v>
                </c:pt>
                <c:pt idx="16">
                  <c:v>1.8898302685579249</c:v>
                </c:pt>
                <c:pt idx="17">
                  <c:v>1.8879223811831727</c:v>
                </c:pt>
                <c:pt idx="18">
                  <c:v>1.9191349944803895</c:v>
                </c:pt>
                <c:pt idx="19">
                  <c:v>1.9428211851579404</c:v>
                </c:pt>
                <c:pt idx="20">
                  <c:v>1.9138681051225013</c:v>
                </c:pt>
                <c:pt idx="21">
                  <c:v>1.9123898019536081</c:v>
                </c:pt>
                <c:pt idx="22">
                  <c:v>1.9063582238978538</c:v>
                </c:pt>
                <c:pt idx="23">
                  <c:v>1.9245716693206669</c:v>
                </c:pt>
                <c:pt idx="24">
                  <c:v>1.95185167143782</c:v>
                </c:pt>
                <c:pt idx="25">
                  <c:v>1.9486889721027512</c:v>
                </c:pt>
                <c:pt idx="26">
                  <c:v>1.968026302377943</c:v>
                </c:pt>
                <c:pt idx="27">
                  <c:v>1.974621962459836</c:v>
                </c:pt>
                <c:pt idx="28">
                  <c:v>1.9761567922414973</c:v>
                </c:pt>
                <c:pt idx="29">
                  <c:v>1.9960252899456647</c:v>
                </c:pt>
                <c:pt idx="30">
                  <c:v>1.9740364052768051</c:v>
                </c:pt>
                <c:pt idx="31">
                  <c:v>2.0723602754484256</c:v>
                </c:pt>
                <c:pt idx="32">
                  <c:v>2.1380120001888527</c:v>
                </c:pt>
                <c:pt idx="33">
                  <c:v>2.0619702344002846</c:v>
                </c:pt>
                <c:pt idx="34">
                  <c:v>2.0882442106152084</c:v>
                </c:pt>
                <c:pt idx="35">
                  <c:v>2.1046218604527485</c:v>
                </c:pt>
                <c:pt idx="36">
                  <c:v>2.0752160339656234</c:v>
                </c:pt>
                <c:pt idx="37">
                  <c:v>2.0438120702807003</c:v>
                </c:pt>
                <c:pt idx="38">
                  <c:v>2.0798353783131316</c:v>
                </c:pt>
                <c:pt idx="39">
                  <c:v>2.1354575884397606</c:v>
                </c:pt>
                <c:pt idx="40">
                  <c:v>2.157811554560507</c:v>
                </c:pt>
                <c:pt idx="41">
                  <c:v>2.1633764236173945</c:v>
                </c:pt>
                <c:pt idx="42">
                  <c:v>2.2071340378942006</c:v>
                </c:pt>
                <c:pt idx="43">
                  <c:v>2.2130396942748463</c:v>
                </c:pt>
                <c:pt idx="44">
                  <c:v>2.163019667759841</c:v>
                </c:pt>
                <c:pt idx="45">
                  <c:v>2.1385999717718169</c:v>
                </c:pt>
                <c:pt idx="46">
                  <c:v>2.0720309834793587</c:v>
                </c:pt>
                <c:pt idx="47">
                  <c:v>2.1522883995649766</c:v>
                </c:pt>
                <c:pt idx="48">
                  <c:v>2.1979349320387693</c:v>
                </c:pt>
                <c:pt idx="49">
                  <c:v>2.1999240453839826</c:v>
                </c:pt>
                <c:pt idx="50">
                  <c:v>2.2064301309332519</c:v>
                </c:pt>
                <c:pt idx="51">
                  <c:v>2.2128772776962977</c:v>
                </c:pt>
                <c:pt idx="52">
                  <c:v>2.2393618203276904</c:v>
                </c:pt>
                <c:pt idx="53">
                  <c:v>2.219020175106988</c:v>
                </c:pt>
                <c:pt idx="54">
                  <c:v>2.1871359539968807</c:v>
                </c:pt>
                <c:pt idx="55">
                  <c:v>2.2036381411510226</c:v>
                </c:pt>
                <c:pt idx="56">
                  <c:v>2.2046160450896011</c:v>
                </c:pt>
                <c:pt idx="57">
                  <c:v>2.1895943834792608</c:v>
                </c:pt>
                <c:pt idx="58">
                  <c:v>2.1810062796605214</c:v>
                </c:pt>
                <c:pt idx="59">
                  <c:v>2.1657843095236764</c:v>
                </c:pt>
                <c:pt idx="60">
                  <c:v>2.1527568804220332</c:v>
                </c:pt>
                <c:pt idx="61">
                  <c:v>2.052298619318965</c:v>
                </c:pt>
                <c:pt idx="62">
                  <c:v>2.0337800512071684</c:v>
                </c:pt>
                <c:pt idx="63">
                  <c:v>2.082382487909364</c:v>
                </c:pt>
                <c:pt idx="64">
                  <c:v>1.968576922785636</c:v>
                </c:pt>
                <c:pt idx="65">
                  <c:v>1.9786955940329471</c:v>
                </c:pt>
                <c:pt idx="66">
                  <c:v>2.0521757739226874</c:v>
                </c:pt>
                <c:pt idx="67">
                  <c:v>1.9990062191809681</c:v>
                </c:pt>
                <c:pt idx="68">
                  <c:v>1.9274421392931635</c:v>
                </c:pt>
                <c:pt idx="69">
                  <c:v>1.8858690741921271</c:v>
                </c:pt>
                <c:pt idx="70">
                  <c:v>1.8849085572688724</c:v>
                </c:pt>
                <c:pt idx="71">
                  <c:v>1.7994406310184301</c:v>
                </c:pt>
                <c:pt idx="72">
                  <c:v>1.9510265979233445</c:v>
                </c:pt>
                <c:pt idx="73">
                  <c:v>1.939637658276901</c:v>
                </c:pt>
                <c:pt idx="74">
                  <c:v>2.0038610328639179</c:v>
                </c:pt>
                <c:pt idx="75">
                  <c:v>1.9825337660030344</c:v>
                </c:pt>
                <c:pt idx="76">
                  <c:v>2.0105943483155646</c:v>
                </c:pt>
                <c:pt idx="77">
                  <c:v>1.9971576237255182</c:v>
                </c:pt>
                <c:pt idx="78">
                  <c:v>2.0209369487824134</c:v>
                </c:pt>
                <c:pt idx="79">
                  <c:v>1.9299977599358429</c:v>
                </c:pt>
                <c:pt idx="80">
                  <c:v>1.936431799151042</c:v>
                </c:pt>
                <c:pt idx="81">
                  <c:v>1.974254630087058</c:v>
                </c:pt>
                <c:pt idx="82">
                  <c:v>1.9677510290678515</c:v>
                </c:pt>
                <c:pt idx="83">
                  <c:v>1.9160741108802291</c:v>
                </c:pt>
                <c:pt idx="84">
                  <c:v>1.9182400198325655</c:v>
                </c:pt>
                <c:pt idx="85">
                  <c:v>1.9098721029632213</c:v>
                </c:pt>
                <c:pt idx="86">
                  <c:v>1.90853238541859</c:v>
                </c:pt>
                <c:pt idx="87">
                  <c:v>1.9205390369860511</c:v>
                </c:pt>
                <c:pt idx="88">
                  <c:v>1.9754067412307788</c:v>
                </c:pt>
                <c:pt idx="89">
                  <c:v>2.0038330330074947</c:v>
                </c:pt>
                <c:pt idx="90">
                  <c:v>2.0667114250976111</c:v>
                </c:pt>
                <c:pt idx="91">
                  <c:v>2.0625253455641834</c:v>
                </c:pt>
                <c:pt idx="92">
                  <c:v>2.0646810308664931</c:v>
                </c:pt>
                <c:pt idx="93">
                  <c:v>2.0935856487562137</c:v>
                </c:pt>
                <c:pt idx="94">
                  <c:v>2.1062234731657341</c:v>
                </c:pt>
                <c:pt idx="95">
                  <c:v>2.1374021994747272</c:v>
                </c:pt>
                <c:pt idx="96">
                  <c:v>2.2163066884108273</c:v>
                </c:pt>
                <c:pt idx="97">
                  <c:v>2.1638207072632847</c:v>
                </c:pt>
                <c:pt idx="98">
                  <c:v>2.2085269516481638</c:v>
                </c:pt>
                <c:pt idx="99">
                  <c:v>2.2057791522436809</c:v>
                </c:pt>
                <c:pt idx="100">
                  <c:v>2.1698562690761105</c:v>
                </c:pt>
                <c:pt idx="101">
                  <c:v>2.160756639627889</c:v>
                </c:pt>
                <c:pt idx="102">
                  <c:v>2.1922914751195943</c:v>
                </c:pt>
                <c:pt idx="103">
                  <c:v>2.1437237423848532</c:v>
                </c:pt>
                <c:pt idx="104">
                  <c:v>2.1816243046404797</c:v>
                </c:pt>
                <c:pt idx="105">
                  <c:v>2.2018427951239357</c:v>
                </c:pt>
                <c:pt idx="106">
                  <c:v>2.1660661086142086</c:v>
                </c:pt>
                <c:pt idx="107">
                  <c:v>2.1576617486214817</c:v>
                </c:pt>
                <c:pt idx="108">
                  <c:v>2.1479658285343666</c:v>
                </c:pt>
                <c:pt idx="109">
                  <c:v>2.1604004048232919</c:v>
                </c:pt>
                <c:pt idx="110">
                  <c:v>2.1288761442260338</c:v>
                </c:pt>
                <c:pt idx="111">
                  <c:v>2.0810581243194628</c:v>
                </c:pt>
                <c:pt idx="112">
                  <c:v>2.0781820213898459</c:v>
                </c:pt>
                <c:pt idx="113">
                  <c:v>2.0860191906990271</c:v>
                </c:pt>
                <c:pt idx="114">
                  <c:v>2.1065274217712235</c:v>
                </c:pt>
                <c:pt idx="115">
                  <c:v>2.0246691997455697</c:v>
                </c:pt>
                <c:pt idx="116">
                  <c:v>2.0099217880324804</c:v>
                </c:pt>
                <c:pt idx="117">
                  <c:v>1.9420297797135055</c:v>
                </c:pt>
                <c:pt idx="118">
                  <c:v>1.9384406616726457</c:v>
                </c:pt>
                <c:pt idx="119">
                  <c:v>1.9913571487889095</c:v>
                </c:pt>
                <c:pt idx="120">
                  <c:v>1.9760314144880322</c:v>
                </c:pt>
                <c:pt idx="121">
                  <c:v>1.9615725775048651</c:v>
                </c:pt>
                <c:pt idx="122">
                  <c:v>1.9510278520564561</c:v>
                </c:pt>
                <c:pt idx="123">
                  <c:v>2.0019164372802787</c:v>
                </c:pt>
                <c:pt idx="124">
                  <c:v>1.9938446139242192</c:v>
                </c:pt>
                <c:pt idx="125">
                  <c:v>2.0536974425332319</c:v>
                </c:pt>
                <c:pt idx="126">
                  <c:v>2.0548795369795809</c:v>
                </c:pt>
                <c:pt idx="127">
                  <c:v>2.0722940312425977</c:v>
                </c:pt>
                <c:pt idx="128">
                  <c:v>2.0664166484185977</c:v>
                </c:pt>
                <c:pt idx="129">
                  <c:v>2.0757205016114741</c:v>
                </c:pt>
                <c:pt idx="130">
                  <c:v>2.0748369727717426</c:v>
                </c:pt>
                <c:pt idx="131">
                  <c:v>2.0700465826527585</c:v>
                </c:pt>
                <c:pt idx="132">
                  <c:v>2.0325637172163709</c:v>
                </c:pt>
                <c:pt idx="133">
                  <c:v>2.0897881571636971</c:v>
                </c:pt>
                <c:pt idx="134">
                  <c:v>2.1016182364112828</c:v>
                </c:pt>
                <c:pt idx="135">
                  <c:v>2.1022204702531351</c:v>
                </c:pt>
                <c:pt idx="136">
                  <c:v>2.0999592327543115</c:v>
                </c:pt>
                <c:pt idx="137">
                  <c:v>2.1220949120888384</c:v>
                </c:pt>
                <c:pt idx="138">
                  <c:v>2.1328268596447013</c:v>
                </c:pt>
                <c:pt idx="139">
                  <c:v>2.1594874563655599</c:v>
                </c:pt>
                <c:pt idx="140">
                  <c:v>2.1311804845413906</c:v>
                </c:pt>
                <c:pt idx="141">
                  <c:v>2.1374474404968704</c:v>
                </c:pt>
                <c:pt idx="142">
                  <c:v>2.1817466631668916</c:v>
                </c:pt>
                <c:pt idx="143">
                  <c:v>2.1782525706002631</c:v>
                </c:pt>
                <c:pt idx="144">
                  <c:v>2.1819296450855887</c:v>
                </c:pt>
                <c:pt idx="145">
                  <c:v>2.2070404481475796</c:v>
                </c:pt>
                <c:pt idx="146">
                  <c:v>2.2391403631371358</c:v>
                </c:pt>
                <c:pt idx="147">
                  <c:v>2.2630749670908323</c:v>
                </c:pt>
                <c:pt idx="148">
                  <c:v>2.2457884377066</c:v>
                </c:pt>
                <c:pt idx="149">
                  <c:v>2.2934681520262732</c:v>
                </c:pt>
                <c:pt idx="150">
                  <c:v>2.2927271705674426</c:v>
                </c:pt>
                <c:pt idx="151">
                  <c:v>2.2902817185060607</c:v>
                </c:pt>
                <c:pt idx="152">
                  <c:v>2.2965512468797962</c:v>
                </c:pt>
                <c:pt idx="153">
                  <c:v>2.3300865068351402</c:v>
                </c:pt>
                <c:pt idx="154">
                  <c:v>2.3351236815514933</c:v>
                </c:pt>
                <c:pt idx="155">
                  <c:v>2.3254290123406745</c:v>
                </c:pt>
                <c:pt idx="156">
                  <c:v>2.3152872060306291</c:v>
                </c:pt>
                <c:pt idx="157">
                  <c:v>2.3281857395278567</c:v>
                </c:pt>
                <c:pt idx="158">
                  <c:v>2.3664129358735075</c:v>
                </c:pt>
                <c:pt idx="159">
                  <c:v>2.350631142219445</c:v>
                </c:pt>
                <c:pt idx="160">
                  <c:v>2.3420679119828054</c:v>
                </c:pt>
                <c:pt idx="161">
                  <c:v>2.3107792446046704</c:v>
                </c:pt>
                <c:pt idx="162">
                  <c:v>2.2787679400965986</c:v>
                </c:pt>
                <c:pt idx="163">
                  <c:v>2.2701419410519583</c:v>
                </c:pt>
                <c:pt idx="164">
                  <c:v>2.2984409940685229</c:v>
                </c:pt>
                <c:pt idx="165">
                  <c:v>2.3165381927044382</c:v>
                </c:pt>
                <c:pt idx="166">
                  <c:v>2.3299151013305197</c:v>
                </c:pt>
                <c:pt idx="167">
                  <c:v>2.3479810483524233</c:v>
                </c:pt>
                <c:pt idx="168">
                  <c:v>2.3628958849331556</c:v>
                </c:pt>
                <c:pt idx="169">
                  <c:v>2.3280707714356672</c:v>
                </c:pt>
                <c:pt idx="170">
                  <c:v>2.3386518709105681</c:v>
                </c:pt>
                <c:pt idx="171">
                  <c:v>2.3689763049543044</c:v>
                </c:pt>
                <c:pt idx="172">
                  <c:v>2.3530287380381734</c:v>
                </c:pt>
                <c:pt idx="173">
                  <c:v>2.3791915593177242</c:v>
                </c:pt>
                <c:pt idx="174">
                  <c:v>2.3914152553704335</c:v>
                </c:pt>
                <c:pt idx="175">
                  <c:v>2.3992535165883466</c:v>
                </c:pt>
                <c:pt idx="176">
                  <c:v>2.4188408772909304</c:v>
                </c:pt>
                <c:pt idx="177">
                  <c:v>2.3942666385270752</c:v>
                </c:pt>
                <c:pt idx="178">
                  <c:v>2.407380654643247</c:v>
                </c:pt>
                <c:pt idx="179">
                  <c:v>2.3915521234814654</c:v>
                </c:pt>
                <c:pt idx="180">
                  <c:v>2.3824516748193041</c:v>
                </c:pt>
                <c:pt idx="181">
                  <c:v>2.4147630481248021</c:v>
                </c:pt>
                <c:pt idx="182">
                  <c:v>2.4206269453581424</c:v>
                </c:pt>
                <c:pt idx="183">
                  <c:v>2.3960924857645609</c:v>
                </c:pt>
                <c:pt idx="184">
                  <c:v>2.3536270914723239</c:v>
                </c:pt>
                <c:pt idx="185">
                  <c:v>2.3485557130059447</c:v>
                </c:pt>
                <c:pt idx="186">
                  <c:v>2.3584392968796908</c:v>
                </c:pt>
                <c:pt idx="187">
                  <c:v>2.4049832050625044</c:v>
                </c:pt>
                <c:pt idx="188">
                  <c:v>2.4700575738592407</c:v>
                </c:pt>
                <c:pt idx="189">
                  <c:v>2.4724652654271098</c:v>
                </c:pt>
                <c:pt idx="190">
                  <c:v>2.482237484553278</c:v>
                </c:pt>
                <c:pt idx="191">
                  <c:v>2.463726615174521</c:v>
                </c:pt>
                <c:pt idx="192">
                  <c:v>2.4992272704031291</c:v>
                </c:pt>
                <c:pt idx="193">
                  <c:v>2.5403919677249456</c:v>
                </c:pt>
                <c:pt idx="194">
                  <c:v>2.5360510481398224</c:v>
                </c:pt>
                <c:pt idx="195">
                  <c:v>2.539521121495258</c:v>
                </c:pt>
                <c:pt idx="196">
                  <c:v>2.5326606340186335</c:v>
                </c:pt>
                <c:pt idx="197">
                  <c:v>2.5479023959635843</c:v>
                </c:pt>
                <c:pt idx="198">
                  <c:v>2.5713869996302638</c:v>
                </c:pt>
                <c:pt idx="199">
                  <c:v>2.5599573793345765</c:v>
                </c:pt>
                <c:pt idx="200">
                  <c:v>2.5489148087638633</c:v>
                </c:pt>
                <c:pt idx="201">
                  <c:v>2.5137213321287968</c:v>
                </c:pt>
                <c:pt idx="202">
                  <c:v>2.5196809171128316</c:v>
                </c:pt>
                <c:pt idx="203">
                  <c:v>2.5222441796415183</c:v>
                </c:pt>
                <c:pt idx="204">
                  <c:v>2.5499622233047616</c:v>
                </c:pt>
                <c:pt idx="205">
                  <c:v>2.5470356114663355</c:v>
                </c:pt>
                <c:pt idx="206">
                  <c:v>2.5181949687279483</c:v>
                </c:pt>
                <c:pt idx="207">
                  <c:v>2.4459260114390284</c:v>
                </c:pt>
                <c:pt idx="208">
                  <c:v>2.4599775335870424</c:v>
                </c:pt>
                <c:pt idx="209">
                  <c:v>2.5028754892956595</c:v>
                </c:pt>
                <c:pt idx="210">
                  <c:v>2.5250583318247983</c:v>
                </c:pt>
                <c:pt idx="211">
                  <c:v>2.5394609508027308</c:v>
                </c:pt>
                <c:pt idx="212">
                  <c:v>2.5317641294205857</c:v>
                </c:pt>
                <c:pt idx="213">
                  <c:v>2.4556821298395186</c:v>
                </c:pt>
                <c:pt idx="214">
                  <c:v>2.4522525804107951</c:v>
                </c:pt>
                <c:pt idx="215">
                  <c:v>2.4418758838351509</c:v>
                </c:pt>
                <c:pt idx="216">
                  <c:v>2.4628619608298674</c:v>
                </c:pt>
                <c:pt idx="217">
                  <c:v>2.4164795926493574</c:v>
                </c:pt>
                <c:pt idx="218">
                  <c:v>2.4517674002270402</c:v>
                </c:pt>
                <c:pt idx="219">
                  <c:v>2.4727095548233433</c:v>
                </c:pt>
                <c:pt idx="220">
                  <c:v>2.5032766121449979</c:v>
                </c:pt>
                <c:pt idx="221">
                  <c:v>2.4907943022658663</c:v>
                </c:pt>
                <c:pt idx="222">
                  <c:v>2.4867874630566775</c:v>
                </c:pt>
                <c:pt idx="223">
                  <c:v>2.4870156527875733</c:v>
                </c:pt>
                <c:pt idx="224">
                  <c:v>2.5050667136715381</c:v>
                </c:pt>
                <c:pt idx="225">
                  <c:v>2.5554537216877931</c:v>
                </c:pt>
                <c:pt idx="226">
                  <c:v>2.5922788796505793</c:v>
                </c:pt>
                <c:pt idx="227">
                  <c:v>2.6397983276904409</c:v>
                </c:pt>
                <c:pt idx="228">
                  <c:v>2.6447304760380379</c:v>
                </c:pt>
                <c:pt idx="229">
                  <c:v>2.6362644408846725</c:v>
                </c:pt>
                <c:pt idx="230">
                  <c:v>2.6808088172407847</c:v>
                </c:pt>
                <c:pt idx="231">
                  <c:v>2.6721820828752061</c:v>
                </c:pt>
                <c:pt idx="232">
                  <c:v>2.7841697569174526</c:v>
                </c:pt>
                <c:pt idx="233">
                  <c:v>2.822731183340033</c:v>
                </c:pt>
                <c:pt idx="234">
                  <c:v>2.8701598973886457</c:v>
                </c:pt>
                <c:pt idx="235">
                  <c:v>2.9299362005500003</c:v>
                </c:pt>
                <c:pt idx="236">
                  <c:v>2.9810412781845526</c:v>
                </c:pt>
                <c:pt idx="237">
                  <c:v>3.0512720462316927</c:v>
                </c:pt>
                <c:pt idx="238">
                  <c:v>3.0428309643747578</c:v>
                </c:pt>
                <c:pt idx="239">
                  <c:v>3.0975643187849919</c:v>
                </c:pt>
                <c:pt idx="240">
                  <c:v>3.1932413347214208</c:v>
                </c:pt>
                <c:pt idx="241">
                  <c:v>3.1904611936055014</c:v>
                </c:pt>
                <c:pt idx="242">
                  <c:v>3.156528374700811</c:v>
                </c:pt>
                <c:pt idx="243">
                  <c:v>3.0311119389184973</c:v>
                </c:pt>
                <c:pt idx="244">
                  <c:v>3.0180138699078047</c:v>
                </c:pt>
                <c:pt idx="245">
                  <c:v>3.03517308425746</c:v>
                </c:pt>
                <c:pt idx="246">
                  <c:v>3.0303698904594669</c:v>
                </c:pt>
                <c:pt idx="247">
                  <c:v>3.0045509297973956</c:v>
                </c:pt>
                <c:pt idx="248">
                  <c:v>3.0507002773545007</c:v>
                </c:pt>
                <c:pt idx="249">
                  <c:v>3.069323610858623</c:v>
                </c:pt>
                <c:pt idx="250">
                  <c:v>3.1556194236076598</c:v>
                </c:pt>
                <c:pt idx="251">
                  <c:v>3.2260081098746136</c:v>
                </c:pt>
              </c:numCache>
            </c:numRef>
          </c:val>
          <c:smooth val="0"/>
        </c:ser>
        <c:ser>
          <c:idx val="3"/>
          <c:order val="3"/>
          <c:tx>
            <c:v>Diversified risk parity</c:v>
          </c:tx>
          <c:spPr>
            <a:ln w="28575" cap="rnd">
              <a:solidFill>
                <a:schemeClr val="accent4"/>
              </a:solidFill>
              <a:round/>
            </a:ln>
            <a:effectLst/>
          </c:spPr>
          <c:marker>
            <c:symbol val="none"/>
          </c:marker>
          <c:cat>
            <c:numRef>
              <c:f>PCA!$BA$5:$BA$256</c:f>
              <c:numCache>
                <c:formatCode>General</c:formatCode>
                <c:ptCount val="2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numCache>
            </c:numRef>
          </c:cat>
          <c:val>
            <c:numRef>
              <c:f>PCA!$BE$5:$BE$256</c:f>
              <c:numCache>
                <c:formatCode>General</c:formatCode>
                <c:ptCount val="252"/>
                <c:pt idx="0">
                  <c:v>1.1223928462371648</c:v>
                </c:pt>
                <c:pt idx="1">
                  <c:v>1.1464820352018752</c:v>
                </c:pt>
                <c:pt idx="2">
                  <c:v>1.1785342587888752</c:v>
                </c:pt>
                <c:pt idx="3">
                  <c:v>1.21305936151005</c:v>
                </c:pt>
                <c:pt idx="4">
                  <c:v>1.2321519036813913</c:v>
                </c:pt>
                <c:pt idx="5">
                  <c:v>1.2218438636511884</c:v>
                </c:pt>
                <c:pt idx="6">
                  <c:v>1.2503276829902501</c:v>
                </c:pt>
                <c:pt idx="7">
                  <c:v>1.23285820901998</c:v>
                </c:pt>
                <c:pt idx="8">
                  <c:v>1.2583982413872907</c:v>
                </c:pt>
                <c:pt idx="9">
                  <c:v>1.2650289353728668</c:v>
                </c:pt>
                <c:pt idx="10">
                  <c:v>1.317481671082307</c:v>
                </c:pt>
                <c:pt idx="11">
                  <c:v>1.3274418030267952</c:v>
                </c:pt>
                <c:pt idx="12">
                  <c:v>1.2557741997867184</c:v>
                </c:pt>
                <c:pt idx="13">
                  <c:v>1.2854570649259562</c:v>
                </c:pt>
                <c:pt idx="14">
                  <c:v>1.2711405367303656</c:v>
                </c:pt>
                <c:pt idx="15">
                  <c:v>1.3150304035524656</c:v>
                </c:pt>
                <c:pt idx="16">
                  <c:v>1.3210807614702129</c:v>
                </c:pt>
                <c:pt idx="17">
                  <c:v>1.3166569405552093</c:v>
                </c:pt>
                <c:pt idx="18">
                  <c:v>1.3567547438461773</c:v>
                </c:pt>
                <c:pt idx="19">
                  <c:v>1.392455948952084</c:v>
                </c:pt>
                <c:pt idx="20">
                  <c:v>1.3481897091653607</c:v>
                </c:pt>
                <c:pt idx="21">
                  <c:v>1.3514566337285081</c:v>
                </c:pt>
                <c:pt idx="22">
                  <c:v>1.3418223409497174</c:v>
                </c:pt>
                <c:pt idx="23">
                  <c:v>1.3620577113929233</c:v>
                </c:pt>
                <c:pt idx="24">
                  <c:v>1.3770623438595555</c:v>
                </c:pt>
                <c:pt idx="25">
                  <c:v>1.375760061256607</c:v>
                </c:pt>
                <c:pt idx="26">
                  <c:v>1.4065550193207288</c:v>
                </c:pt>
                <c:pt idx="27">
                  <c:v>1.4106362592022037</c:v>
                </c:pt>
                <c:pt idx="28">
                  <c:v>1.427914743057523</c:v>
                </c:pt>
                <c:pt idx="29">
                  <c:v>1.445481853413364</c:v>
                </c:pt>
                <c:pt idx="30">
                  <c:v>1.429382577252019</c:v>
                </c:pt>
                <c:pt idx="31">
                  <c:v>1.5237319573727115</c:v>
                </c:pt>
                <c:pt idx="32">
                  <c:v>1.6008928720763576</c:v>
                </c:pt>
                <c:pt idx="33">
                  <c:v>1.5177798922490917</c:v>
                </c:pt>
                <c:pt idx="34">
                  <c:v>1.5566492025847498</c:v>
                </c:pt>
                <c:pt idx="35">
                  <c:v>1.5708012835722556</c:v>
                </c:pt>
                <c:pt idx="36">
                  <c:v>1.5445953568094775</c:v>
                </c:pt>
                <c:pt idx="37">
                  <c:v>1.5111835884924858</c:v>
                </c:pt>
                <c:pt idx="38">
                  <c:v>1.5390780510755431</c:v>
                </c:pt>
                <c:pt idx="39">
                  <c:v>1.5801037232345316</c:v>
                </c:pt>
                <c:pt idx="40">
                  <c:v>1.5978229200619627</c:v>
                </c:pt>
                <c:pt idx="41">
                  <c:v>1.6039491433968813</c:v>
                </c:pt>
                <c:pt idx="42">
                  <c:v>1.6545197895799892</c:v>
                </c:pt>
                <c:pt idx="43">
                  <c:v>1.6581648618136875</c:v>
                </c:pt>
                <c:pt idx="44">
                  <c:v>1.6266826396630443</c:v>
                </c:pt>
                <c:pt idx="45">
                  <c:v>1.5893176227335291</c:v>
                </c:pt>
                <c:pt idx="46">
                  <c:v>1.5251725560476428</c:v>
                </c:pt>
                <c:pt idx="47">
                  <c:v>1.6012605764560079</c:v>
                </c:pt>
                <c:pt idx="48">
                  <c:v>1.6421687379863512</c:v>
                </c:pt>
                <c:pt idx="49">
                  <c:v>1.6228350094858719</c:v>
                </c:pt>
                <c:pt idx="50">
                  <c:v>1.6234412459062173</c:v>
                </c:pt>
                <c:pt idx="51">
                  <c:v>1.6263108464576408</c:v>
                </c:pt>
                <c:pt idx="52">
                  <c:v>1.6515138135694032</c:v>
                </c:pt>
                <c:pt idx="53">
                  <c:v>1.6267946750896476</c:v>
                </c:pt>
                <c:pt idx="54">
                  <c:v>1.5816119300333455</c:v>
                </c:pt>
                <c:pt idx="55">
                  <c:v>1.5996731787054097</c:v>
                </c:pt>
                <c:pt idx="56">
                  <c:v>1.5972994274292469</c:v>
                </c:pt>
                <c:pt idx="57">
                  <c:v>1.5686853270927583</c:v>
                </c:pt>
                <c:pt idx="58">
                  <c:v>1.5598019145415518</c:v>
                </c:pt>
                <c:pt idx="59">
                  <c:v>1.546195272617169</c:v>
                </c:pt>
                <c:pt idx="60">
                  <c:v>1.5372893107412606</c:v>
                </c:pt>
                <c:pt idx="61">
                  <c:v>1.4261153360942918</c:v>
                </c:pt>
                <c:pt idx="62">
                  <c:v>1.3996724453026801</c:v>
                </c:pt>
                <c:pt idx="63">
                  <c:v>1.4510875060265329</c:v>
                </c:pt>
                <c:pt idx="64">
                  <c:v>1.3456496136589899</c:v>
                </c:pt>
                <c:pt idx="65">
                  <c:v>1.3563452132788252</c:v>
                </c:pt>
                <c:pt idx="66">
                  <c:v>1.4197036178592468</c:v>
                </c:pt>
                <c:pt idx="67">
                  <c:v>1.3654055568492554</c:v>
                </c:pt>
                <c:pt idx="68">
                  <c:v>1.2928744449159131</c:v>
                </c:pt>
                <c:pt idx="69">
                  <c:v>1.2482999932187133</c:v>
                </c:pt>
                <c:pt idx="70">
                  <c:v>1.2249267306037712</c:v>
                </c:pt>
                <c:pt idx="71">
                  <c:v>1.143835038691521</c:v>
                </c:pt>
                <c:pt idx="72">
                  <c:v>1.3078112313162629</c:v>
                </c:pt>
                <c:pt idx="73">
                  <c:v>1.2895677416273721</c:v>
                </c:pt>
                <c:pt idx="74">
                  <c:v>1.3498933836850577</c:v>
                </c:pt>
                <c:pt idx="75">
                  <c:v>1.3351813457812411</c:v>
                </c:pt>
                <c:pt idx="76">
                  <c:v>1.3672799400297899</c:v>
                </c:pt>
                <c:pt idx="77">
                  <c:v>1.3438436586122158</c:v>
                </c:pt>
                <c:pt idx="78">
                  <c:v>1.3689579440234609</c:v>
                </c:pt>
                <c:pt idx="79">
                  <c:v>1.276992791737408</c:v>
                </c:pt>
                <c:pt idx="80">
                  <c:v>1.2804871642342495</c:v>
                </c:pt>
                <c:pt idx="81">
                  <c:v>1.322245208108892</c:v>
                </c:pt>
                <c:pt idx="82">
                  <c:v>1.3164574994313287</c:v>
                </c:pt>
                <c:pt idx="83">
                  <c:v>1.2624301326707881</c:v>
                </c:pt>
                <c:pt idx="84">
                  <c:v>1.2672713353560305</c:v>
                </c:pt>
                <c:pt idx="85">
                  <c:v>1.2445289381719691</c:v>
                </c:pt>
                <c:pt idx="86">
                  <c:v>1.2363643895609926</c:v>
                </c:pt>
                <c:pt idx="87">
                  <c:v>1.2551673320574122</c:v>
                </c:pt>
                <c:pt idx="88">
                  <c:v>1.3143827857516892</c:v>
                </c:pt>
                <c:pt idx="89">
                  <c:v>1.3253534043267921</c:v>
                </c:pt>
                <c:pt idx="90">
                  <c:v>1.3737136381921473</c:v>
                </c:pt>
                <c:pt idx="91">
                  <c:v>1.3728862127197223</c:v>
                </c:pt>
                <c:pt idx="92">
                  <c:v>1.3594707729181663</c:v>
                </c:pt>
                <c:pt idx="93">
                  <c:v>1.3882399926723656</c:v>
                </c:pt>
                <c:pt idx="94">
                  <c:v>1.3928096906702991</c:v>
                </c:pt>
                <c:pt idx="95">
                  <c:v>1.430816424627845</c:v>
                </c:pt>
                <c:pt idx="96">
                  <c:v>1.5237245111196938</c:v>
                </c:pt>
                <c:pt idx="97">
                  <c:v>1.4740235789397103</c:v>
                </c:pt>
                <c:pt idx="98">
                  <c:v>1.5078719641904015</c:v>
                </c:pt>
                <c:pt idx="99">
                  <c:v>1.5030308504172569</c:v>
                </c:pt>
                <c:pt idx="100">
                  <c:v>1.4662695694775321</c:v>
                </c:pt>
                <c:pt idx="101">
                  <c:v>1.4650523322368483</c:v>
                </c:pt>
                <c:pt idx="102">
                  <c:v>1.4975998806807784</c:v>
                </c:pt>
                <c:pt idx="103">
                  <c:v>1.4560991640917305</c:v>
                </c:pt>
                <c:pt idx="104">
                  <c:v>1.482051682468208</c:v>
                </c:pt>
                <c:pt idx="105">
                  <c:v>1.5012990732038873</c:v>
                </c:pt>
                <c:pt idx="106">
                  <c:v>1.457166266109539</c:v>
                </c:pt>
                <c:pt idx="107">
                  <c:v>1.438002485116082</c:v>
                </c:pt>
                <c:pt idx="108">
                  <c:v>1.403059551015714</c:v>
                </c:pt>
                <c:pt idx="109">
                  <c:v>1.4323065297848832</c:v>
                </c:pt>
                <c:pt idx="110">
                  <c:v>1.3966222223134468</c:v>
                </c:pt>
                <c:pt idx="111">
                  <c:v>1.3525985380018846</c:v>
                </c:pt>
                <c:pt idx="112">
                  <c:v>1.3469556528488544</c:v>
                </c:pt>
                <c:pt idx="113">
                  <c:v>1.3388793942982187</c:v>
                </c:pt>
                <c:pt idx="114">
                  <c:v>1.3576394256381548</c:v>
                </c:pt>
                <c:pt idx="115">
                  <c:v>1.2812709449718271</c:v>
                </c:pt>
                <c:pt idx="116">
                  <c:v>1.2735578502057101</c:v>
                </c:pt>
                <c:pt idx="117">
                  <c:v>1.2156291169327016</c:v>
                </c:pt>
                <c:pt idx="118">
                  <c:v>1.1959384755462754</c:v>
                </c:pt>
                <c:pt idx="119">
                  <c:v>1.2339504473628382</c:v>
                </c:pt>
                <c:pt idx="120">
                  <c:v>1.2157530438519366</c:v>
                </c:pt>
                <c:pt idx="121">
                  <c:v>1.211337011315659</c:v>
                </c:pt>
                <c:pt idx="122">
                  <c:v>1.1968919824356823</c:v>
                </c:pt>
                <c:pt idx="123">
                  <c:v>1.2439021354742137</c:v>
                </c:pt>
                <c:pt idx="124">
                  <c:v>1.2345465061926109</c:v>
                </c:pt>
                <c:pt idx="125">
                  <c:v>1.2838608122311475</c:v>
                </c:pt>
                <c:pt idx="126">
                  <c:v>1.2858450804981689</c:v>
                </c:pt>
                <c:pt idx="127">
                  <c:v>1.3041544691019396</c:v>
                </c:pt>
                <c:pt idx="128">
                  <c:v>1.2987421128169245</c:v>
                </c:pt>
                <c:pt idx="129">
                  <c:v>1.3070525399572928</c:v>
                </c:pt>
                <c:pt idx="130">
                  <c:v>1.3018098443141095</c:v>
                </c:pt>
                <c:pt idx="131">
                  <c:v>1.29242361641561</c:v>
                </c:pt>
                <c:pt idx="132">
                  <c:v>1.2503825701169375</c:v>
                </c:pt>
                <c:pt idx="133">
                  <c:v>1.3030440449649263</c:v>
                </c:pt>
                <c:pt idx="134">
                  <c:v>1.3140860569545212</c:v>
                </c:pt>
                <c:pt idx="135">
                  <c:v>1.3157092049947714</c:v>
                </c:pt>
                <c:pt idx="136">
                  <c:v>1.3152472331227867</c:v>
                </c:pt>
                <c:pt idx="137">
                  <c:v>1.3391052581380409</c:v>
                </c:pt>
                <c:pt idx="138">
                  <c:v>1.3489301144843284</c:v>
                </c:pt>
                <c:pt idx="139">
                  <c:v>1.3765041006368075</c:v>
                </c:pt>
                <c:pt idx="140">
                  <c:v>1.3484909250331278</c:v>
                </c:pt>
                <c:pt idx="141">
                  <c:v>1.3590880379383834</c:v>
                </c:pt>
                <c:pt idx="142">
                  <c:v>1.4058073941749971</c:v>
                </c:pt>
                <c:pt idx="143">
                  <c:v>1.4172862600455516</c:v>
                </c:pt>
                <c:pt idx="144">
                  <c:v>1.4116104708891926</c:v>
                </c:pt>
                <c:pt idx="145">
                  <c:v>1.4310755868842084</c:v>
                </c:pt>
                <c:pt idx="146">
                  <c:v>1.4711241919504818</c:v>
                </c:pt>
                <c:pt idx="147">
                  <c:v>1.4958247451426308</c:v>
                </c:pt>
                <c:pt idx="148">
                  <c:v>1.4756844997178689</c:v>
                </c:pt>
                <c:pt idx="149">
                  <c:v>1.5181089472086098</c:v>
                </c:pt>
                <c:pt idx="150">
                  <c:v>1.5181286360080724</c:v>
                </c:pt>
                <c:pt idx="151">
                  <c:v>1.5161033479677677</c:v>
                </c:pt>
                <c:pt idx="152">
                  <c:v>1.513596625801144</c:v>
                </c:pt>
                <c:pt idx="153">
                  <c:v>1.5394207403493243</c:v>
                </c:pt>
                <c:pt idx="154">
                  <c:v>1.5403598257248112</c:v>
                </c:pt>
                <c:pt idx="155">
                  <c:v>1.5259588493389908</c:v>
                </c:pt>
                <c:pt idx="156">
                  <c:v>1.5299120690780004</c:v>
                </c:pt>
                <c:pt idx="157">
                  <c:v>1.5309379653585795</c:v>
                </c:pt>
                <c:pt idx="158">
                  <c:v>1.569032986067431</c:v>
                </c:pt>
                <c:pt idx="159">
                  <c:v>1.5519504764474226</c:v>
                </c:pt>
                <c:pt idx="160">
                  <c:v>1.541185512747917</c:v>
                </c:pt>
                <c:pt idx="161">
                  <c:v>1.5143818635705455</c:v>
                </c:pt>
                <c:pt idx="162">
                  <c:v>1.4890917435767157</c:v>
                </c:pt>
                <c:pt idx="163">
                  <c:v>1.4971404612353729</c:v>
                </c:pt>
                <c:pt idx="164">
                  <c:v>1.5163253933949898</c:v>
                </c:pt>
                <c:pt idx="165">
                  <c:v>1.5205460427742206</c:v>
                </c:pt>
                <c:pt idx="166">
                  <c:v>1.5296699914454579</c:v>
                </c:pt>
                <c:pt idx="167">
                  <c:v>1.5261423795418243</c:v>
                </c:pt>
                <c:pt idx="168">
                  <c:v>1.5388300549500984</c:v>
                </c:pt>
                <c:pt idx="169">
                  <c:v>1.5093695639291127</c:v>
                </c:pt>
                <c:pt idx="170">
                  <c:v>1.5148996440676967</c:v>
                </c:pt>
                <c:pt idx="171">
                  <c:v>1.5570477932408364</c:v>
                </c:pt>
                <c:pt idx="172">
                  <c:v>1.5527411203962922</c:v>
                </c:pt>
                <c:pt idx="173">
                  <c:v>1.5853940422419759</c:v>
                </c:pt>
                <c:pt idx="174">
                  <c:v>1.5914845745799937</c:v>
                </c:pt>
                <c:pt idx="175">
                  <c:v>1.5997965967504191</c:v>
                </c:pt>
                <c:pt idx="176">
                  <c:v>1.6114821012023088</c:v>
                </c:pt>
                <c:pt idx="177">
                  <c:v>1.5763851182367985</c:v>
                </c:pt>
                <c:pt idx="178">
                  <c:v>1.5910056961494556</c:v>
                </c:pt>
                <c:pt idx="179">
                  <c:v>1.5728480212121039</c:v>
                </c:pt>
                <c:pt idx="180">
                  <c:v>1.5619679657098422</c:v>
                </c:pt>
                <c:pt idx="181">
                  <c:v>1.5931843001527353</c:v>
                </c:pt>
                <c:pt idx="182">
                  <c:v>1.5992490254529339</c:v>
                </c:pt>
                <c:pt idx="183">
                  <c:v>1.5646831449301417</c:v>
                </c:pt>
                <c:pt idx="184">
                  <c:v>1.5291945267166149</c:v>
                </c:pt>
                <c:pt idx="185">
                  <c:v>1.5382169409986086</c:v>
                </c:pt>
                <c:pt idx="186">
                  <c:v>1.5433837911438049</c:v>
                </c:pt>
                <c:pt idx="187">
                  <c:v>1.5812677869487501</c:v>
                </c:pt>
                <c:pt idx="188">
                  <c:v>1.6392632660575976</c:v>
                </c:pt>
                <c:pt idx="189">
                  <c:v>1.6375003708271554</c:v>
                </c:pt>
                <c:pt idx="190">
                  <c:v>1.640300665953093</c:v>
                </c:pt>
                <c:pt idx="191">
                  <c:v>1.6243782465873344</c:v>
                </c:pt>
                <c:pt idx="192">
                  <c:v>1.6490057780737388</c:v>
                </c:pt>
                <c:pt idx="193">
                  <c:v>1.6902406749946124</c:v>
                </c:pt>
                <c:pt idx="194">
                  <c:v>1.6884999276369688</c:v>
                </c:pt>
                <c:pt idx="195">
                  <c:v>1.6896757435118841</c:v>
                </c:pt>
                <c:pt idx="196">
                  <c:v>1.6893123507404737</c:v>
                </c:pt>
                <c:pt idx="197">
                  <c:v>1.7052561360342431</c:v>
                </c:pt>
                <c:pt idx="198">
                  <c:v>1.7312954014723443</c:v>
                </c:pt>
                <c:pt idx="199">
                  <c:v>1.7246362496013146</c:v>
                </c:pt>
                <c:pt idx="200">
                  <c:v>1.71504261095654</c:v>
                </c:pt>
                <c:pt idx="201">
                  <c:v>1.6842521210497297</c:v>
                </c:pt>
                <c:pt idx="202">
                  <c:v>1.6858335760806749</c:v>
                </c:pt>
                <c:pt idx="203">
                  <c:v>1.6925354039391554</c:v>
                </c:pt>
                <c:pt idx="204">
                  <c:v>1.7165722049937124</c:v>
                </c:pt>
                <c:pt idx="205">
                  <c:v>1.7166353888300996</c:v>
                </c:pt>
                <c:pt idx="206">
                  <c:v>1.7019845706132921</c:v>
                </c:pt>
                <c:pt idx="207">
                  <c:v>1.6430379682214635</c:v>
                </c:pt>
                <c:pt idx="208">
                  <c:v>1.65767328442083</c:v>
                </c:pt>
                <c:pt idx="209">
                  <c:v>1.7011497768000374</c:v>
                </c:pt>
                <c:pt idx="210">
                  <c:v>1.7105856488235016</c:v>
                </c:pt>
                <c:pt idx="211">
                  <c:v>1.723391801814377</c:v>
                </c:pt>
                <c:pt idx="212">
                  <c:v>1.7189042306291413</c:v>
                </c:pt>
                <c:pt idx="213">
                  <c:v>1.6659460867578617</c:v>
                </c:pt>
                <c:pt idx="214">
                  <c:v>1.6674820732557556</c:v>
                </c:pt>
                <c:pt idx="215">
                  <c:v>1.6635662072172464</c:v>
                </c:pt>
                <c:pt idx="216">
                  <c:v>1.6688804151558889</c:v>
                </c:pt>
                <c:pt idx="217">
                  <c:v>1.6443263371010202</c:v>
                </c:pt>
                <c:pt idx="218">
                  <c:v>1.6619812322520771</c:v>
                </c:pt>
                <c:pt idx="219">
                  <c:v>1.6762899860423359</c:v>
                </c:pt>
                <c:pt idx="220">
                  <c:v>1.7030800126224148</c:v>
                </c:pt>
                <c:pt idx="221">
                  <c:v>1.686474140549082</c:v>
                </c:pt>
                <c:pt idx="222">
                  <c:v>1.6951476132862418</c:v>
                </c:pt>
                <c:pt idx="223">
                  <c:v>1.707679202571903</c:v>
                </c:pt>
                <c:pt idx="224">
                  <c:v>1.72730917872796</c:v>
                </c:pt>
                <c:pt idx="225">
                  <c:v>1.7611764616456012</c:v>
                </c:pt>
                <c:pt idx="226">
                  <c:v>1.7982357111466176</c:v>
                </c:pt>
                <c:pt idx="227">
                  <c:v>1.8431086976529871</c:v>
                </c:pt>
                <c:pt idx="228">
                  <c:v>1.8389675462209967</c:v>
                </c:pt>
                <c:pt idx="229">
                  <c:v>1.8303713288678285</c:v>
                </c:pt>
                <c:pt idx="230">
                  <c:v>1.8799703801122394</c:v>
                </c:pt>
                <c:pt idx="231">
                  <c:v>1.89004282954478</c:v>
                </c:pt>
                <c:pt idx="232">
                  <c:v>2.0262467726431974</c:v>
                </c:pt>
                <c:pt idx="233">
                  <c:v>2.0615353308464366</c:v>
                </c:pt>
                <c:pt idx="234">
                  <c:v>2.1030827994108909</c:v>
                </c:pt>
                <c:pt idx="235">
                  <c:v>2.1644077674379241</c:v>
                </c:pt>
                <c:pt idx="236">
                  <c:v>2.2162750245090437</c:v>
                </c:pt>
                <c:pt idx="237">
                  <c:v>2.3163550784214166</c:v>
                </c:pt>
                <c:pt idx="238">
                  <c:v>2.2921488105099943</c:v>
                </c:pt>
                <c:pt idx="239">
                  <c:v>2.3504909885662846</c:v>
                </c:pt>
                <c:pt idx="240">
                  <c:v>2.4390864833127526</c:v>
                </c:pt>
                <c:pt idx="241">
                  <c:v>2.4305445861904422</c:v>
                </c:pt>
                <c:pt idx="242">
                  <c:v>2.3803428108467717</c:v>
                </c:pt>
                <c:pt idx="243">
                  <c:v>2.2272100815935008</c:v>
                </c:pt>
                <c:pt idx="244">
                  <c:v>2.2398413922690588</c:v>
                </c:pt>
                <c:pt idx="245">
                  <c:v>2.2542709746519476</c:v>
                </c:pt>
                <c:pt idx="246">
                  <c:v>2.2280046743879209</c:v>
                </c:pt>
                <c:pt idx="247">
                  <c:v>2.1967328194633833</c:v>
                </c:pt>
                <c:pt idx="248">
                  <c:v>2.2564878376158362</c:v>
                </c:pt>
                <c:pt idx="249">
                  <c:v>2.2875220632678368</c:v>
                </c:pt>
                <c:pt idx="250">
                  <c:v>2.367794542139217</c:v>
                </c:pt>
                <c:pt idx="251">
                  <c:v>2.4458422243661055</c:v>
                </c:pt>
              </c:numCache>
            </c:numRef>
          </c:val>
          <c:smooth val="0"/>
        </c:ser>
        <c:dLbls>
          <c:showLegendKey val="0"/>
          <c:showVal val="0"/>
          <c:showCatName val="0"/>
          <c:showSerName val="0"/>
          <c:showPercent val="0"/>
          <c:showBubbleSize val="0"/>
        </c:dLbls>
        <c:smooth val="0"/>
        <c:axId val="558588928"/>
        <c:axId val="558582656"/>
      </c:lineChart>
      <c:catAx>
        <c:axId val="5585889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Day</a:t>
                </a:r>
                <a:endParaRPr lang="zh-CN" alt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58582656"/>
        <c:crosses val="autoZero"/>
        <c:auto val="1"/>
        <c:lblAlgn val="ctr"/>
        <c:lblOffset val="100"/>
        <c:tickLblSkip val="50"/>
        <c:tickMarkSkip val="50"/>
        <c:noMultiLvlLbl val="0"/>
      </c:catAx>
      <c:valAx>
        <c:axId val="558582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Value</a:t>
                </a:r>
                <a:endParaRPr lang="zh-CN" alt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58588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576263</xdr:colOff>
      <xdr:row>7</xdr:row>
      <xdr:rowOff>28575</xdr:rowOff>
    </xdr:from>
    <xdr:to>
      <xdr:col>21</xdr:col>
      <xdr:colOff>561975</xdr:colOff>
      <xdr:row>32</xdr:row>
      <xdr:rowOff>66675</xdr:rowOff>
    </xdr:to>
    <xdr:sp macro="" textlink="">
      <xdr:nvSpPr>
        <xdr:cNvPr id="5" name="TextBox 4">
          <a:extLst>
            <a:ext uri="{FF2B5EF4-FFF2-40B4-BE49-F238E27FC236}">
              <a16:creationId xmlns="" xmlns:a16="http://schemas.microsoft.com/office/drawing/2014/main" id="{00000000-0008-0000-0000-000005000000}"/>
            </a:ext>
          </a:extLst>
        </xdr:cNvPr>
        <xdr:cNvSpPr txBox="1"/>
      </xdr:nvSpPr>
      <xdr:spPr>
        <a:xfrm>
          <a:off x="11749088" y="1162050"/>
          <a:ext cx="4252912" cy="408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calculation of eigenvectors</a:t>
          </a:r>
          <a:r>
            <a:rPr lang="en-US" sz="1100" baseline="0"/>
            <a:t> and eigenvalues involves the use of array functions</a:t>
          </a:r>
        </a:p>
        <a:p>
          <a:endParaRPr lang="en-US" sz="1100" baseline="0"/>
        </a:p>
        <a:p>
          <a:r>
            <a:rPr lang="en-US" sz="1100" b="1" baseline="0"/>
            <a:t>Eigenvalues</a:t>
          </a:r>
        </a:p>
        <a:p>
          <a:r>
            <a:rPr lang="en-US" sz="1100" baseline="0"/>
            <a:t>1. Select a range of cells that corresponds to the size of the matrix. (In the example the matrix is 9 by 9 and  cells C13:K21 are selected.) </a:t>
          </a:r>
        </a:p>
        <a:p>
          <a:r>
            <a:rPr lang="en-US" sz="1100" baseline="0"/>
            <a:t>2. While selected cells are displayed enter  =eigenvalue(...) .  The argument of eigenvalue  should be the range of cells corresponding to the original matrix. (In the example this is C1:K9 so that the formula entered is =eigenvalue(C1:K9)</a:t>
          </a:r>
        </a:p>
        <a:p>
          <a:r>
            <a:rPr lang="en-US" sz="1100" baseline="0"/>
            <a:t>3. Press Control+Shift+Enter</a:t>
          </a:r>
        </a:p>
        <a:p>
          <a:r>
            <a:rPr lang="en-US" sz="1100"/>
            <a:t>4. The eigenvalues are displayed on the diagonal of the</a:t>
          </a:r>
          <a:r>
            <a:rPr lang="en-US" sz="1100" baseline="0"/>
            <a:t> matrix that is produced</a:t>
          </a:r>
        </a:p>
        <a:p>
          <a:endParaRPr lang="en-US" sz="1100" baseline="0"/>
        </a:p>
        <a:p>
          <a:r>
            <a:rPr lang="en-US" sz="1100" b="1" baseline="0"/>
            <a:t>Eigenvectors</a:t>
          </a:r>
        </a:p>
        <a:p>
          <a:r>
            <a:rPr lang="en-US" sz="1100" baseline="0">
              <a:solidFill>
                <a:schemeClr val="dk1"/>
              </a:solidFill>
              <a:effectLst/>
              <a:latin typeface="+mn-lt"/>
              <a:ea typeface="+mn-ea"/>
              <a:cs typeface="+mn-cs"/>
            </a:rPr>
            <a:t>1. Select a range of cells that corresponds to the size of the matrix. (In the example the matrix is 9 by 9 and  cells C25:K33 are selected.) </a:t>
          </a:r>
          <a:endParaRPr lang="en-US">
            <a:effectLst/>
          </a:endParaRPr>
        </a:p>
        <a:p>
          <a:r>
            <a:rPr lang="en-US" sz="1100" baseline="0">
              <a:solidFill>
                <a:schemeClr val="dk1"/>
              </a:solidFill>
              <a:effectLst/>
              <a:latin typeface="+mn-lt"/>
              <a:ea typeface="+mn-ea"/>
              <a:cs typeface="+mn-cs"/>
            </a:rPr>
            <a:t>2. While selected cells are displayed enter  =eigenvector(...) .  The argument of eigenvalue  should be the range of cells corresponding to the original matrix. (In the example this is C1:K9 so that the formula entered is =eigenvector(C1:K9)</a:t>
          </a:r>
          <a:endParaRPr lang="en-US">
            <a:effectLst/>
          </a:endParaRPr>
        </a:p>
        <a:p>
          <a:r>
            <a:rPr lang="en-US" sz="1100" baseline="0">
              <a:solidFill>
                <a:schemeClr val="dk1"/>
              </a:solidFill>
              <a:effectLst/>
              <a:latin typeface="+mn-lt"/>
              <a:ea typeface="+mn-ea"/>
              <a:cs typeface="+mn-cs"/>
            </a:rPr>
            <a:t>3. Press Control+Shift+Enter</a:t>
          </a:r>
          <a:endParaRPr lang="en-US">
            <a:effectLst/>
          </a:endParaRPr>
        </a:p>
        <a:p>
          <a:r>
            <a:rPr lang="en-US" sz="1100">
              <a:solidFill>
                <a:schemeClr val="dk1"/>
              </a:solidFill>
              <a:effectLst/>
              <a:latin typeface="+mn-lt"/>
              <a:ea typeface="+mn-ea"/>
              <a:cs typeface="+mn-cs"/>
            </a:rPr>
            <a:t>4. The eigenvectors </a:t>
          </a:r>
          <a:r>
            <a:rPr lang="en-US" sz="1100" baseline="0">
              <a:solidFill>
                <a:schemeClr val="dk1"/>
              </a:solidFill>
              <a:effectLst/>
              <a:latin typeface="+mn-lt"/>
              <a:ea typeface="+mn-ea"/>
              <a:cs typeface="+mn-cs"/>
            </a:rPr>
            <a:t> are the columns of the  matrix that is produced</a:t>
          </a:r>
          <a:endParaRPr lang="en-US">
            <a:effectLst/>
          </a:endParaRPr>
        </a:p>
        <a:p>
          <a:endParaRPr lang="en-US" sz="1100" b="1"/>
        </a:p>
      </xdr:txBody>
    </xdr:sp>
    <xdr:clientData/>
  </xdr:twoCellAnchor>
  <xdr:twoCellAnchor>
    <xdr:from>
      <xdr:col>0</xdr:col>
      <xdr:colOff>61914</xdr:colOff>
      <xdr:row>1</xdr:row>
      <xdr:rowOff>38100</xdr:rowOff>
    </xdr:from>
    <xdr:to>
      <xdr:col>1</xdr:col>
      <xdr:colOff>528638</xdr:colOff>
      <xdr:row>6</xdr:row>
      <xdr:rowOff>76199</xdr:rowOff>
    </xdr:to>
    <xdr:sp macro="" textlink="">
      <xdr:nvSpPr>
        <xdr:cNvPr id="6" name="TextBox 5">
          <a:extLst>
            <a:ext uri="{FF2B5EF4-FFF2-40B4-BE49-F238E27FC236}">
              <a16:creationId xmlns="" xmlns:a16="http://schemas.microsoft.com/office/drawing/2014/main" id="{00000000-0008-0000-0000-000006000000}"/>
            </a:ext>
          </a:extLst>
        </xdr:cNvPr>
        <xdr:cNvSpPr txBox="1"/>
      </xdr:nvSpPr>
      <xdr:spPr>
        <a:xfrm>
          <a:off x="57151" y="200025"/>
          <a:ext cx="1047749" cy="847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Matrix for which eigenvalues and eigenvectors are required is in F1:N9</a:t>
          </a:r>
        </a:p>
      </xdr:txBody>
    </xdr:sp>
    <xdr:clientData/>
  </xdr:twoCellAnchor>
  <xdr:twoCellAnchor>
    <xdr:from>
      <xdr:col>0</xdr:col>
      <xdr:colOff>1</xdr:colOff>
      <xdr:row>13</xdr:row>
      <xdr:rowOff>66675</xdr:rowOff>
    </xdr:from>
    <xdr:to>
      <xdr:col>1</xdr:col>
      <xdr:colOff>571501</xdr:colOff>
      <xdr:row>17</xdr:row>
      <xdr:rowOff>76200</xdr:rowOff>
    </xdr:to>
    <xdr:sp macro="" textlink="">
      <xdr:nvSpPr>
        <xdr:cNvPr id="7" name="TextBox 6">
          <a:extLst>
            <a:ext uri="{FF2B5EF4-FFF2-40B4-BE49-F238E27FC236}">
              <a16:creationId xmlns="" xmlns:a16="http://schemas.microsoft.com/office/drawing/2014/main" id="{00000000-0008-0000-0000-000007000000}"/>
            </a:ext>
          </a:extLst>
        </xdr:cNvPr>
        <xdr:cNvSpPr txBox="1"/>
      </xdr:nvSpPr>
      <xdr:spPr>
        <a:xfrm>
          <a:off x="1" y="2171700"/>
          <a:ext cx="114300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Eigenvalues are on diagonal in C13:K21</a:t>
          </a:r>
        </a:p>
      </xdr:txBody>
    </xdr:sp>
    <xdr:clientData/>
  </xdr:twoCellAnchor>
  <xdr:twoCellAnchor>
    <xdr:from>
      <xdr:col>0</xdr:col>
      <xdr:colOff>19050</xdr:colOff>
      <xdr:row>26</xdr:row>
      <xdr:rowOff>28575</xdr:rowOff>
    </xdr:from>
    <xdr:to>
      <xdr:col>1</xdr:col>
      <xdr:colOff>561975</xdr:colOff>
      <xdr:row>30</xdr:row>
      <xdr:rowOff>123825</xdr:rowOff>
    </xdr:to>
    <xdr:sp macro="" textlink="">
      <xdr:nvSpPr>
        <xdr:cNvPr id="8" name="TextBox 7">
          <a:extLst>
            <a:ext uri="{FF2B5EF4-FFF2-40B4-BE49-F238E27FC236}">
              <a16:creationId xmlns="" xmlns:a16="http://schemas.microsoft.com/office/drawing/2014/main" id="{00000000-0008-0000-0000-000008000000}"/>
            </a:ext>
          </a:extLst>
        </xdr:cNvPr>
        <xdr:cNvSpPr txBox="1"/>
      </xdr:nvSpPr>
      <xdr:spPr>
        <a:xfrm>
          <a:off x="19050" y="4238625"/>
          <a:ext cx="1114425" cy="742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Eigenvectors</a:t>
          </a:r>
          <a:r>
            <a:rPr lang="en-US" sz="1100" baseline="0"/>
            <a:t> are in columns  of C25:K23</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357187</xdr:colOff>
      <xdr:row>43</xdr:row>
      <xdr:rowOff>147637</xdr:rowOff>
    </xdr:from>
    <xdr:to>
      <xdr:col>24</xdr:col>
      <xdr:colOff>128587</xdr:colOff>
      <xdr:row>59</xdr:row>
      <xdr:rowOff>147637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595312</xdr:colOff>
      <xdr:row>66</xdr:row>
      <xdr:rowOff>71437</xdr:rowOff>
    </xdr:from>
    <xdr:to>
      <xdr:col>24</xdr:col>
      <xdr:colOff>366712</xdr:colOff>
      <xdr:row>82</xdr:row>
      <xdr:rowOff>71437</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64</xdr:col>
      <xdr:colOff>71437</xdr:colOff>
      <xdr:row>0</xdr:row>
      <xdr:rowOff>123825</xdr:rowOff>
    </xdr:from>
    <xdr:to>
      <xdr:col>71</xdr:col>
      <xdr:colOff>442912</xdr:colOff>
      <xdr:row>16</xdr:row>
      <xdr:rowOff>161925</xdr:rowOff>
    </xdr:to>
    <xdr:graphicFrame macro="">
      <xdr:nvGraphicFramePr>
        <xdr:cNvPr id="14" name="图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K33"/>
  <sheetViews>
    <sheetView workbookViewId="0">
      <selection activeCell="C13" sqref="C13"/>
    </sheetView>
  </sheetViews>
  <sheetFormatPr defaultRowHeight="12.75" x14ac:dyDescent="0.2"/>
  <cols>
    <col min="2" max="2" width="21" customWidth="1"/>
    <col min="3" max="6" width="12.5703125" bestFit="1" customWidth="1"/>
    <col min="7" max="7" width="13.140625" bestFit="1" customWidth="1"/>
    <col min="8" max="10" width="12.42578125" bestFit="1" customWidth="1"/>
    <col min="11" max="11" width="9.28515625" bestFit="1" customWidth="1"/>
  </cols>
  <sheetData>
    <row r="1" spans="3:11" x14ac:dyDescent="0.2">
      <c r="C1" s="1">
        <v>0.9042</v>
      </c>
      <c r="D1" s="1">
        <v>8.9200000000000002E-2</v>
      </c>
      <c r="E1" s="1">
        <v>6.1999999999999998E-3</v>
      </c>
      <c r="F1" s="1">
        <v>1E-4</v>
      </c>
      <c r="G1" s="1">
        <v>2.9999999999999997E-4</v>
      </c>
      <c r="H1" s="1">
        <v>0</v>
      </c>
      <c r="I1" s="1">
        <v>0</v>
      </c>
      <c r="J1" s="1">
        <v>0</v>
      </c>
      <c r="K1" s="1">
        <v>0</v>
      </c>
    </row>
    <row r="2" spans="3:11" x14ac:dyDescent="0.2">
      <c r="C2" s="1">
        <v>1.0200000000000001E-2</v>
      </c>
      <c r="D2" s="1">
        <v>0.9012</v>
      </c>
      <c r="E2" s="1">
        <v>8.3799999999999999E-2</v>
      </c>
      <c r="F2" s="1">
        <v>3.8E-3</v>
      </c>
      <c r="G2" s="1">
        <v>5.0000000000000001E-4</v>
      </c>
      <c r="H2" s="1">
        <v>2.0000000000000001E-4</v>
      </c>
      <c r="I2" s="1">
        <v>1E-4</v>
      </c>
      <c r="J2" s="1">
        <v>0</v>
      </c>
      <c r="K2" s="1">
        <v>2.0000000000000001E-4</v>
      </c>
    </row>
    <row r="3" spans="3:11" x14ac:dyDescent="0.2">
      <c r="C3" s="1">
        <v>5.9999999999999995E-4</v>
      </c>
      <c r="D3" s="1">
        <v>2.8199999999999999E-2</v>
      </c>
      <c r="E3" s="1">
        <v>0.90880000000000005</v>
      </c>
      <c r="F3" s="1">
        <v>5.5199999999999999E-2</v>
      </c>
      <c r="G3" s="1">
        <v>5.1000000000000004E-3</v>
      </c>
      <c r="H3" s="1">
        <v>1.1000000000000001E-3</v>
      </c>
      <c r="I3" s="1">
        <v>2.9999999999999997E-4</v>
      </c>
      <c r="J3" s="1">
        <v>1E-4</v>
      </c>
      <c r="K3" s="1">
        <v>5.9999999999999995E-4</v>
      </c>
    </row>
    <row r="4" spans="3:11" x14ac:dyDescent="0.2">
      <c r="C4" s="1">
        <v>5.0000000000000001E-4</v>
      </c>
      <c r="D4" s="1">
        <v>1.9E-3</v>
      </c>
      <c r="E4" s="1">
        <v>4.7899999999999998E-2</v>
      </c>
      <c r="F4" s="1">
        <v>0.89410000000000001</v>
      </c>
      <c r="G4" s="1">
        <v>4.3499999999999997E-2</v>
      </c>
      <c r="H4" s="1">
        <v>8.2000000000000007E-3</v>
      </c>
      <c r="I4" s="1">
        <v>1.8E-3</v>
      </c>
      <c r="J4" s="1">
        <v>2.0000000000000001E-4</v>
      </c>
      <c r="K4" s="1">
        <v>1.9E-3</v>
      </c>
    </row>
    <row r="5" spans="3:11" x14ac:dyDescent="0.2">
      <c r="C5" s="1">
        <v>1E-4</v>
      </c>
      <c r="D5" s="1">
        <v>5.9999999999999995E-4</v>
      </c>
      <c r="E5" s="1">
        <v>4.1000000000000003E-3</v>
      </c>
      <c r="F5" s="1">
        <v>6.2199999999999998E-2</v>
      </c>
      <c r="G5" s="1">
        <v>0.83430000000000004</v>
      </c>
      <c r="H5" s="1">
        <v>7.9699999999999993E-2</v>
      </c>
      <c r="I5" s="1">
        <v>5.8999999999999999E-3</v>
      </c>
      <c r="J5" s="1">
        <v>8.9999999999999998E-4</v>
      </c>
      <c r="K5" s="1">
        <v>1.2200000000000001E-2</v>
      </c>
    </row>
    <row r="6" spans="3:11" x14ac:dyDescent="0.2">
      <c r="C6" s="1">
        <v>1E-4</v>
      </c>
      <c r="D6" s="1">
        <v>4.0000000000000002E-4</v>
      </c>
      <c r="E6" s="1">
        <v>1.4E-3</v>
      </c>
      <c r="F6" s="1">
        <v>3.8E-3</v>
      </c>
      <c r="G6" s="1">
        <v>5.3199999999999997E-2</v>
      </c>
      <c r="H6" s="1">
        <v>0.82189999999999996</v>
      </c>
      <c r="I6" s="1">
        <v>6.4500000000000002E-2</v>
      </c>
      <c r="J6" s="1">
        <v>7.4000000000000003E-3</v>
      </c>
      <c r="K6" s="1">
        <v>4.7300000000000002E-2</v>
      </c>
    </row>
    <row r="7" spans="3:11" x14ac:dyDescent="0.2">
      <c r="C7" s="1">
        <v>0</v>
      </c>
      <c r="D7" s="1">
        <v>2.0000000000000001E-4</v>
      </c>
      <c r="E7" s="1">
        <v>2.0000000000000001E-4</v>
      </c>
      <c r="F7" s="1">
        <v>1.6000000000000001E-3</v>
      </c>
      <c r="G7" s="1">
        <v>5.3E-3</v>
      </c>
      <c r="H7" s="1">
        <v>9.4100000000000003E-2</v>
      </c>
      <c r="I7" s="1">
        <v>0.68430000000000002</v>
      </c>
      <c r="J7" s="1">
        <v>4.6699999999999998E-2</v>
      </c>
      <c r="K7" s="1">
        <v>0.1676</v>
      </c>
    </row>
    <row r="8" spans="3:11" x14ac:dyDescent="0.2">
      <c r="C8" s="1">
        <v>0</v>
      </c>
      <c r="D8" s="1">
        <v>0</v>
      </c>
      <c r="E8" s="1">
        <v>0</v>
      </c>
      <c r="F8" s="1">
        <v>0</v>
      </c>
      <c r="G8" s="1">
        <v>3.8999999999999998E-3</v>
      </c>
      <c r="H8" s="1">
        <v>2.8500000000000001E-2</v>
      </c>
      <c r="I8" s="1">
        <v>0.1066</v>
      </c>
      <c r="J8" s="1">
        <v>0.43540000000000001</v>
      </c>
      <c r="K8" s="1">
        <v>0.42559999999999998</v>
      </c>
    </row>
    <row r="9" spans="3:11" x14ac:dyDescent="0.2">
      <c r="C9" s="1">
        <v>0</v>
      </c>
      <c r="D9" s="1">
        <v>0</v>
      </c>
      <c r="E9" s="1">
        <v>0</v>
      </c>
      <c r="F9" s="1">
        <v>0</v>
      </c>
      <c r="G9" s="1">
        <v>0</v>
      </c>
      <c r="H9" s="1">
        <v>0</v>
      </c>
      <c r="I9" s="1">
        <v>0</v>
      </c>
      <c r="J9" s="1">
        <v>0</v>
      </c>
      <c r="K9" s="1">
        <v>1</v>
      </c>
    </row>
    <row r="10" spans="3:11" x14ac:dyDescent="0.2">
      <c r="C10" s="1"/>
      <c r="D10" s="1"/>
      <c r="E10" s="1"/>
      <c r="F10" s="1"/>
      <c r="G10" s="1"/>
      <c r="H10" s="1"/>
      <c r="I10" s="1"/>
      <c r="J10" s="1"/>
      <c r="K10" s="1"/>
    </row>
    <row r="11" spans="3:11" x14ac:dyDescent="0.2">
      <c r="C11" s="1"/>
      <c r="D11" s="1"/>
      <c r="E11" s="1"/>
      <c r="F11" s="1"/>
      <c r="G11" s="1"/>
      <c r="H11" s="1"/>
      <c r="I11" s="1"/>
      <c r="J11" s="1"/>
      <c r="K11" s="1"/>
    </row>
    <row r="12" spans="3:11" x14ac:dyDescent="0.2">
      <c r="C12" s="1"/>
      <c r="D12" s="1"/>
      <c r="E12" s="1"/>
      <c r="F12" s="1"/>
      <c r="G12" s="1"/>
      <c r="H12" s="1"/>
      <c r="I12" s="1"/>
      <c r="J12" s="1"/>
      <c r="K12" s="1"/>
    </row>
    <row r="13" spans="3:11" x14ac:dyDescent="0.2">
      <c r="C13" s="1">
        <f t="array" ref="C13:K21">eigenvalue(C1:K9)</f>
        <v>0.98774605847514851</v>
      </c>
      <c r="D13" s="1">
        <v>0</v>
      </c>
      <c r="E13" s="1">
        <v>0</v>
      </c>
      <c r="F13" s="1">
        <v>0</v>
      </c>
      <c r="G13" s="1">
        <v>0</v>
      </c>
      <c r="H13" s="1">
        <v>0</v>
      </c>
      <c r="I13" s="1">
        <v>0</v>
      </c>
      <c r="J13" s="1">
        <v>0</v>
      </c>
      <c r="K13" s="1">
        <v>0</v>
      </c>
    </row>
    <row r="14" spans="3:11" x14ac:dyDescent="0.2">
      <c r="C14" s="1">
        <v>0</v>
      </c>
      <c r="D14" s="1">
        <v>0.9361086619432375</v>
      </c>
      <c r="E14" s="1">
        <v>0</v>
      </c>
      <c r="F14" s="1">
        <v>0</v>
      </c>
      <c r="G14" s="1">
        <v>0</v>
      </c>
      <c r="H14" s="1">
        <v>0</v>
      </c>
      <c r="I14" s="1">
        <v>0</v>
      </c>
      <c r="J14" s="1">
        <v>0</v>
      </c>
      <c r="K14" s="1">
        <v>0</v>
      </c>
    </row>
    <row r="15" spans="3:11" x14ac:dyDescent="0.2">
      <c r="C15" s="1">
        <v>0</v>
      </c>
      <c r="D15" s="1">
        <v>0</v>
      </c>
      <c r="E15" s="1">
        <v>0.90445998963810992</v>
      </c>
      <c r="F15" s="1">
        <v>0</v>
      </c>
      <c r="G15" s="1">
        <v>0</v>
      </c>
      <c r="H15" s="1">
        <v>0</v>
      </c>
      <c r="I15" s="1">
        <v>0</v>
      </c>
      <c r="J15" s="1">
        <v>0</v>
      </c>
      <c r="K15" s="1">
        <v>0</v>
      </c>
    </row>
    <row r="16" spans="3:11" x14ac:dyDescent="0.2">
      <c r="C16" s="1">
        <v>0</v>
      </c>
      <c r="D16" s="1">
        <v>0</v>
      </c>
      <c r="E16" s="1">
        <v>0</v>
      </c>
      <c r="F16" s="1">
        <v>0.87204244794957386</v>
      </c>
      <c r="G16" s="1">
        <v>0</v>
      </c>
      <c r="H16" s="1">
        <v>0</v>
      </c>
      <c r="I16" s="1">
        <v>0</v>
      </c>
      <c r="J16" s="1">
        <v>0</v>
      </c>
      <c r="K16" s="1">
        <v>0</v>
      </c>
    </row>
    <row r="17" spans="3:11" x14ac:dyDescent="0.2">
      <c r="C17" s="1">
        <v>0</v>
      </c>
      <c r="D17" s="1">
        <v>0</v>
      </c>
      <c r="E17" s="1">
        <v>0</v>
      </c>
      <c r="F17" s="1">
        <v>0</v>
      </c>
      <c r="G17" s="1">
        <v>0.65969004999393377</v>
      </c>
      <c r="H17" s="1">
        <v>0</v>
      </c>
      <c r="I17" s="1">
        <v>0</v>
      </c>
      <c r="J17" s="1">
        <v>0</v>
      </c>
      <c r="K17" s="1">
        <v>0</v>
      </c>
    </row>
    <row r="18" spans="3:11" x14ac:dyDescent="0.2">
      <c r="C18" s="1">
        <v>0</v>
      </c>
      <c r="D18" s="1">
        <v>0</v>
      </c>
      <c r="E18" s="1">
        <v>0</v>
      </c>
      <c r="F18" s="1">
        <v>0</v>
      </c>
      <c r="G18" s="1">
        <v>0</v>
      </c>
      <c r="H18" s="1">
        <v>0.8329362021677098</v>
      </c>
      <c r="I18" s="1">
        <v>0</v>
      </c>
      <c r="J18" s="1">
        <v>0</v>
      </c>
      <c r="K18" s="1">
        <v>0</v>
      </c>
    </row>
    <row r="19" spans="3:11" x14ac:dyDescent="0.2">
      <c r="C19" s="1">
        <v>0</v>
      </c>
      <c r="D19" s="1">
        <v>0</v>
      </c>
      <c r="E19" s="1">
        <v>0</v>
      </c>
      <c r="F19" s="1">
        <v>0</v>
      </c>
      <c r="G19" s="1">
        <v>0</v>
      </c>
      <c r="H19" s="1">
        <v>0</v>
      </c>
      <c r="I19" s="1">
        <v>0.41670106723766642</v>
      </c>
      <c r="J19" s="1">
        <v>0</v>
      </c>
      <c r="K19" s="1">
        <v>0</v>
      </c>
    </row>
    <row r="20" spans="3:11" x14ac:dyDescent="0.2">
      <c r="C20" s="1">
        <v>0</v>
      </c>
      <c r="D20" s="1">
        <v>0</v>
      </c>
      <c r="E20" s="1">
        <v>0</v>
      </c>
      <c r="F20" s="1">
        <v>0</v>
      </c>
      <c r="G20" s="1">
        <v>0</v>
      </c>
      <c r="H20" s="1">
        <v>0</v>
      </c>
      <c r="I20" s="1">
        <v>0</v>
      </c>
      <c r="J20" s="1">
        <v>0.77451552259461953</v>
      </c>
      <c r="K20" s="1">
        <v>0</v>
      </c>
    </row>
    <row r="21" spans="3:11" x14ac:dyDescent="0.2">
      <c r="C21" s="1">
        <v>0</v>
      </c>
      <c r="D21" s="1">
        <v>0</v>
      </c>
      <c r="E21" s="1">
        <v>0</v>
      </c>
      <c r="F21" s="1">
        <v>0</v>
      </c>
      <c r="G21" s="1">
        <v>0</v>
      </c>
      <c r="H21" s="1">
        <v>0</v>
      </c>
      <c r="I21" s="1">
        <v>0</v>
      </c>
      <c r="J21" s="1">
        <v>0</v>
      </c>
      <c r="K21" s="1">
        <v>1</v>
      </c>
    </row>
    <row r="22" spans="3:11" x14ac:dyDescent="0.2">
      <c r="C22" s="1"/>
      <c r="D22" s="1"/>
      <c r="E22" s="1"/>
      <c r="F22" s="1"/>
      <c r="G22" s="1"/>
      <c r="H22" s="1"/>
      <c r="I22" s="1"/>
      <c r="J22" s="1"/>
      <c r="K22" s="1"/>
    </row>
    <row r="23" spans="3:11" x14ac:dyDescent="0.2">
      <c r="C23" s="1"/>
      <c r="D23" s="1"/>
      <c r="E23" s="1"/>
      <c r="F23" s="1"/>
      <c r="G23" s="1"/>
      <c r="H23" s="1"/>
      <c r="I23" s="1"/>
      <c r="J23" s="1"/>
      <c r="K23" s="1"/>
    </row>
    <row r="24" spans="3:11" x14ac:dyDescent="0.2">
      <c r="C24" s="1"/>
      <c r="D24" s="1"/>
      <c r="E24" s="1"/>
      <c r="F24" s="1"/>
      <c r="G24" s="1"/>
      <c r="H24" s="1"/>
      <c r="I24" s="1"/>
      <c r="J24" s="1"/>
      <c r="K24" s="1"/>
    </row>
    <row r="25" spans="3:11" x14ac:dyDescent="0.2">
      <c r="C25" s="1">
        <f t="array" ref="C25:K33">eigenvector(C1:K9)</f>
        <v>0.5918262462959657</v>
      </c>
      <c r="D25" s="1">
        <v>-0.91034194176666505</v>
      </c>
      <c r="E25" s="1">
        <v>-0.98191998791189428</v>
      </c>
      <c r="F25" s="1">
        <v>0.91265037477309108</v>
      </c>
      <c r="G25" s="1">
        <v>6.4167229890036367E-5</v>
      </c>
      <c r="H25" s="1">
        <v>-0.66064019235613225</v>
      </c>
      <c r="I25" s="1">
        <v>-7.3395984882131868E-6</v>
      </c>
      <c r="J25" s="1">
        <v>4.1955533235413053E-2</v>
      </c>
      <c r="K25" s="1">
        <v>0.33333333333333376</v>
      </c>
    </row>
    <row r="26" spans="3:11" x14ac:dyDescent="0.2">
      <c r="C26" s="1">
        <v>0.52196897769095552</v>
      </c>
      <c r="D26" s="1">
        <v>-0.32416408606205493</v>
      </c>
      <c r="E26" s="1">
        <v>-1.0845054881877706E-2</v>
      </c>
      <c r="F26" s="1">
        <v>-0.32880293780094511</v>
      </c>
      <c r="G26" s="1">
        <v>-8.6535829624100134E-4</v>
      </c>
      <c r="H26" s="1">
        <v>0.55373582021523737</v>
      </c>
      <c r="I26" s="1">
        <v>5.4207221883075957E-5</v>
      </c>
      <c r="J26" s="1">
        <v>-7.1139474506313333E-2</v>
      </c>
      <c r="K26" s="1">
        <v>0.3333333333333337</v>
      </c>
    </row>
    <row r="27" spans="3:11" x14ac:dyDescent="0.2">
      <c r="C27" s="1">
        <v>0.44971301069367836</v>
      </c>
      <c r="D27" s="1">
        <v>-3.1991491217243331E-2</v>
      </c>
      <c r="E27" s="1">
        <v>0.11914303019202176</v>
      </c>
      <c r="F27" s="1">
        <v>-3.5851488381769569E-3</v>
      </c>
      <c r="G27" s="1">
        <v>2.5309959098396453E-3</v>
      </c>
      <c r="H27" s="1">
        <v>-0.38177536956323554</v>
      </c>
      <c r="I27" s="1">
        <v>-1.2847437289569729E-4</v>
      </c>
      <c r="J27" s="1">
        <v>0.11267566297644364</v>
      </c>
      <c r="K27" s="1">
        <v>0.3333333333333337</v>
      </c>
    </row>
    <row r="28" spans="3:11" x14ac:dyDescent="0.2">
      <c r="C28" s="1">
        <v>0.34886173109007368</v>
      </c>
      <c r="D28" s="1">
        <v>0.14116243758486108</v>
      </c>
      <c r="E28" s="1">
        <v>1.7836484915693923E-2</v>
      </c>
      <c r="F28" s="1">
        <v>0.16813306651807028</v>
      </c>
      <c r="G28" s="1">
        <v>-2.3000061408779301E-2</v>
      </c>
      <c r="H28" s="1">
        <v>0.24403736264917922</v>
      </c>
      <c r="I28" s="1">
        <v>2.3419797740652454E-4</v>
      </c>
      <c r="J28" s="1">
        <v>-0.30210323886981538</v>
      </c>
      <c r="K28" s="1">
        <v>0.33333333333333354</v>
      </c>
    </row>
    <row r="29" spans="3:11" x14ac:dyDescent="0.2">
      <c r="C29" s="1">
        <v>0.2067017690899817</v>
      </c>
      <c r="D29" s="1">
        <v>0.17291401980092749</v>
      </c>
      <c r="E29" s="1">
        <v>-9.4601875095818272E-2</v>
      </c>
      <c r="F29" s="1">
        <v>-4.6550875391110989E-2</v>
      </c>
      <c r="G29" s="1">
        <v>0.16036088450709635</v>
      </c>
      <c r="H29" s="1">
        <v>9.6991665933389384E-2</v>
      </c>
      <c r="I29" s="1">
        <v>-1.61372149283246E-3</v>
      </c>
      <c r="J29" s="1">
        <v>0.78760312499187823</v>
      </c>
      <c r="K29" s="1">
        <v>0.33333333333333337</v>
      </c>
    </row>
    <row r="30" spans="3:11" x14ac:dyDescent="0.2">
      <c r="C30" s="1">
        <v>9.4954751070079987E-2</v>
      </c>
      <c r="D30" s="1">
        <v>0.11206926467170775</v>
      </c>
      <c r="E30" s="1">
        <v>-9.8276717391591523E-2</v>
      </c>
      <c r="F30" s="1">
        <v>-0.14545291062617122</v>
      </c>
      <c r="G30" s="1">
        <v>-0.39907385482102614</v>
      </c>
      <c r="H30" s="1">
        <v>-0.16703073085482989</v>
      </c>
      <c r="I30" s="1">
        <v>1.014177474529492E-2</v>
      </c>
      <c r="J30" s="1">
        <v>-0.33103505292769497</v>
      </c>
      <c r="K30" s="1">
        <v>0.33333333333333304</v>
      </c>
    </row>
    <row r="31" spans="3:11" x14ac:dyDescent="0.2">
      <c r="C31" s="1">
        <v>3.7632442042357439E-2</v>
      </c>
      <c r="D31" s="1">
        <v>4.9521498886864836E-2</v>
      </c>
      <c r="E31" s="1">
        <v>-4.7791815831653331E-2</v>
      </c>
      <c r="F31" s="1">
        <v>-8.0492097301163926E-2</v>
      </c>
      <c r="G31" s="1">
        <v>0.83275237937076729</v>
      </c>
      <c r="H31" s="1">
        <v>-0.11235817100700743</v>
      </c>
      <c r="I31" s="1">
        <v>-0.17533771313909663</v>
      </c>
      <c r="J31" s="1">
        <v>-0.37502089906596947</v>
      </c>
      <c r="K31" s="1">
        <v>0.33333333333333304</v>
      </c>
    </row>
    <row r="32" spans="3:11" x14ac:dyDescent="0.2">
      <c r="C32" s="1">
        <v>1.3621832746367002E-2</v>
      </c>
      <c r="D32" s="1">
        <v>1.8268768241808547E-2</v>
      </c>
      <c r="E32" s="1">
        <v>-1.7619156416569432E-2</v>
      </c>
      <c r="F32" s="1">
        <v>-2.9560602730648651E-2</v>
      </c>
      <c r="G32" s="1">
        <v>0.34786744320674284</v>
      </c>
      <c r="H32" s="1">
        <v>-4.1152200157780233E-2</v>
      </c>
      <c r="I32" s="1">
        <v>0.98445474873782879</v>
      </c>
      <c r="J32" s="1">
        <v>-0.13664981864247633</v>
      </c>
      <c r="K32" s="1">
        <v>0.33333333333333287</v>
      </c>
    </row>
    <row r="33" spans="3:11" x14ac:dyDescent="0.2">
      <c r="C33" s="1">
        <v>1.3958629890779837E-40</v>
      </c>
      <c r="D33" s="1">
        <v>2.1555573274820198E-44</v>
      </c>
      <c r="E33" s="1">
        <v>1.4333586522078627E-47</v>
      </c>
      <c r="F33" s="1">
        <v>2.2877886852578042E-45</v>
      </c>
      <c r="G33" s="1">
        <v>4.7683024795198458E-46</v>
      </c>
      <c r="H33" s="1">
        <v>3.6807915394215319E-43</v>
      </c>
      <c r="I33" s="1">
        <v>3.033281048315309E-46</v>
      </c>
      <c r="J33" s="1">
        <v>5.3990105057201013E-47</v>
      </c>
      <c r="K33" s="1">
        <v>0.33333333333333287</v>
      </c>
    </row>
  </sheetData>
  <phoneticPr fontId="3"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R256"/>
  <sheetViews>
    <sheetView tabSelected="1" topLeftCell="AT1" zoomScaleNormal="100" workbookViewId="0">
      <selection activeCell="BK3" sqref="BK3:BL12"/>
    </sheetView>
  </sheetViews>
  <sheetFormatPr defaultColWidth="9" defaultRowHeight="12" x14ac:dyDescent="0.2"/>
  <cols>
    <col min="1" max="1" width="10.42578125" style="3" bestFit="1" customWidth="1"/>
    <col min="2" max="11" width="9" style="3"/>
    <col min="12" max="12" width="9.5703125" style="3" bestFit="1" customWidth="1"/>
    <col min="13" max="36" width="9" style="3"/>
    <col min="37" max="37" width="9" style="8"/>
    <col min="38" max="48" width="9" style="3"/>
    <col min="49" max="50" width="9" style="5"/>
    <col min="51" max="52" width="10.42578125" style="3" bestFit="1" customWidth="1"/>
    <col min="53" max="58" width="9" style="3"/>
    <col min="59" max="59" width="9" style="3" customWidth="1"/>
    <col min="60" max="16384" width="9" style="3"/>
  </cols>
  <sheetData>
    <row r="1" spans="1:64" ht="12" customHeight="1" x14ac:dyDescent="0.2">
      <c r="A1" s="3" t="s">
        <v>0</v>
      </c>
      <c r="N1" s="3" t="s">
        <v>1</v>
      </c>
      <c r="Z1" s="3" t="s">
        <v>25</v>
      </c>
      <c r="AK1" s="3"/>
      <c r="AL1" s="10" t="s">
        <v>22</v>
      </c>
      <c r="AM1" s="2"/>
      <c r="AN1" s="2"/>
      <c r="AO1" s="2"/>
      <c r="AP1" s="2"/>
      <c r="AQ1" s="2"/>
      <c r="AR1" s="2"/>
      <c r="AS1" s="2"/>
      <c r="AT1" s="2"/>
      <c r="AU1" s="2"/>
      <c r="AV1" s="2"/>
      <c r="AW1" s="32" t="s">
        <v>50</v>
      </c>
      <c r="AX1" s="32"/>
      <c r="AY1" s="32"/>
      <c r="AZ1" s="32"/>
      <c r="BA1" s="5"/>
      <c r="BB1" s="2" t="s">
        <v>2</v>
      </c>
      <c r="BC1" s="12" t="s">
        <v>3</v>
      </c>
      <c r="BD1" s="14" t="s">
        <v>15</v>
      </c>
      <c r="BE1" s="16" t="s">
        <v>31</v>
      </c>
    </row>
    <row r="2" spans="1:64" x14ac:dyDescent="0.2">
      <c r="A2" s="6" t="s">
        <v>4</v>
      </c>
      <c r="B2" s="6" t="s">
        <v>32</v>
      </c>
      <c r="C2" s="6" t="s">
        <v>33</v>
      </c>
      <c r="D2" s="6" t="s">
        <v>34</v>
      </c>
      <c r="E2" s="6" t="s">
        <v>35</v>
      </c>
      <c r="F2" s="6" t="s">
        <v>36</v>
      </c>
      <c r="G2" s="6" t="s">
        <v>37</v>
      </c>
      <c r="H2" s="6" t="s">
        <v>38</v>
      </c>
      <c r="I2" s="6" t="s">
        <v>39</v>
      </c>
      <c r="J2" s="6" t="s">
        <v>40</v>
      </c>
      <c r="K2" s="6" t="s">
        <v>41</v>
      </c>
      <c r="L2" s="6" t="s">
        <v>42</v>
      </c>
      <c r="N2" s="6" t="s">
        <v>32</v>
      </c>
      <c r="O2" s="6" t="s">
        <v>33</v>
      </c>
      <c r="P2" s="6" t="s">
        <v>34</v>
      </c>
      <c r="Q2" s="6" t="s">
        <v>35</v>
      </c>
      <c r="R2" s="6" t="s">
        <v>36</v>
      </c>
      <c r="S2" s="6" t="s">
        <v>37</v>
      </c>
      <c r="T2" s="6" t="s">
        <v>38</v>
      </c>
      <c r="U2" s="6" t="s">
        <v>39</v>
      </c>
      <c r="V2" s="6" t="s">
        <v>40</v>
      </c>
      <c r="W2" s="6" t="s">
        <v>41</v>
      </c>
      <c r="X2" s="6" t="s">
        <v>42</v>
      </c>
      <c r="Z2" s="6"/>
      <c r="AA2" s="6">
        <v>1</v>
      </c>
      <c r="AB2" s="6">
        <v>2</v>
      </c>
      <c r="AC2" s="6">
        <v>3</v>
      </c>
      <c r="AD2" s="6">
        <v>4</v>
      </c>
      <c r="AE2" s="6">
        <v>5</v>
      </c>
      <c r="AF2" s="6">
        <v>6</v>
      </c>
      <c r="AG2" s="6">
        <v>7</v>
      </c>
      <c r="AH2" s="6">
        <v>8</v>
      </c>
      <c r="AI2" s="6">
        <v>9</v>
      </c>
      <c r="AJ2" s="6">
        <v>10</v>
      </c>
      <c r="AK2" s="3"/>
      <c r="AL2" s="10"/>
      <c r="AM2" s="2" t="s">
        <v>32</v>
      </c>
      <c r="AN2" s="2" t="s">
        <v>33</v>
      </c>
      <c r="AO2" s="2" t="s">
        <v>34</v>
      </c>
      <c r="AP2" s="2" t="s">
        <v>35</v>
      </c>
      <c r="AQ2" s="2" t="s">
        <v>36</v>
      </c>
      <c r="AR2" s="2" t="s">
        <v>37</v>
      </c>
      <c r="AS2" s="2" t="s">
        <v>38</v>
      </c>
      <c r="AT2" s="2" t="s">
        <v>39</v>
      </c>
      <c r="AU2" s="2" t="s">
        <v>40</v>
      </c>
      <c r="AV2" s="2" t="s">
        <v>41</v>
      </c>
      <c r="AW2" s="32"/>
      <c r="AX2" s="32"/>
      <c r="AY2" s="32"/>
      <c r="AZ2" s="32"/>
      <c r="BA2" s="5" t="s">
        <v>6</v>
      </c>
      <c r="BB2" s="2">
        <f>BB256/BB5</f>
        <v>1.6443026016238209</v>
      </c>
      <c r="BC2" s="12">
        <f>BC256/BC5</f>
        <v>1.5484774168606532</v>
      </c>
      <c r="BD2" s="14">
        <f>BD256/BD5</f>
        <v>1.8845900361776711</v>
      </c>
      <c r="BE2" s="31">
        <f>BE256/BE5</f>
        <v>2.179132050392</v>
      </c>
      <c r="BG2" s="4" t="s">
        <v>1</v>
      </c>
    </row>
    <row r="3" spans="1:64" ht="13.5" x14ac:dyDescent="0.2">
      <c r="A3" s="28">
        <v>44155</v>
      </c>
      <c r="B3" s="29">
        <v>208.64111299999999</v>
      </c>
      <c r="C3" s="29">
        <v>116.621056</v>
      </c>
      <c r="D3" s="29">
        <v>3099.3999020000001</v>
      </c>
      <c r="E3" s="29">
        <v>1736.380005</v>
      </c>
      <c r="F3" s="29">
        <v>489.60998499999999</v>
      </c>
      <c r="G3" s="29">
        <v>1742.1899410000001</v>
      </c>
      <c r="H3" s="29">
        <v>269.70001200000002</v>
      </c>
      <c r="I3" s="29">
        <v>130.72467</v>
      </c>
      <c r="J3" s="29">
        <v>227.009995</v>
      </c>
      <c r="K3" s="29">
        <v>111.763367</v>
      </c>
      <c r="L3" s="26">
        <v>3557.54</v>
      </c>
      <c r="N3" s="3">
        <f>LN(B4/B3)</f>
        <v>-1.3317794400058757E-3</v>
      </c>
      <c r="O3" s="3">
        <f t="shared" ref="O3:V3" si="0">LN(C4/C3)</f>
        <v>-3.0193878148475524E-2</v>
      </c>
      <c r="P3" s="3">
        <f t="shared" si="0"/>
        <v>-3.259255451857484E-4</v>
      </c>
      <c r="Q3" s="3">
        <f t="shared" si="0"/>
        <v>-5.0924466923108584E-3</v>
      </c>
      <c r="R3" s="3">
        <f t="shared" si="0"/>
        <v>6.3771019086328692E-2</v>
      </c>
      <c r="S3" s="3">
        <f t="shared" si="0"/>
        <v>-4.2161987974330449E-3</v>
      </c>
      <c r="T3" s="3">
        <f t="shared" si="0"/>
        <v>-4.7201283933610396E-3</v>
      </c>
      <c r="U3" s="3">
        <f t="shared" si="0"/>
        <v>3.9843892514169451E-3</v>
      </c>
      <c r="V3" s="3">
        <f t="shared" si="0"/>
        <v>1.1083228407669558E-2</v>
      </c>
      <c r="W3" s="3">
        <f t="shared" ref="W3" si="1">LN(K4/K3)</f>
        <v>2.8396353529966126E-2</v>
      </c>
      <c r="X3" s="3">
        <f t="shared" ref="X3" si="2">LN(L4/L3)</f>
        <v>5.6200945950578216E-3</v>
      </c>
      <c r="Z3" s="6">
        <v>1</v>
      </c>
      <c r="AA3" s="3">
        <f t="shared" ref="AA3:AJ3" si="3">CORREL(INDEX(AREA,0,1),INDEX(AREA,0,AA2))</f>
        <v>0.99999999999999978</v>
      </c>
      <c r="AB3" s="3">
        <f t="shared" si="3"/>
        <v>0.88112244604162882</v>
      </c>
      <c r="AC3" s="3">
        <f t="shared" si="3"/>
        <v>0.6687752198587783</v>
      </c>
      <c r="AD3" s="3">
        <f t="shared" si="3"/>
        <v>0.96742725285103159</v>
      </c>
      <c r="AE3" s="3">
        <f t="shared" si="3"/>
        <v>0.58441737087601831</v>
      </c>
      <c r="AF3" s="3">
        <f t="shared" si="3"/>
        <v>0.95938379095871262</v>
      </c>
      <c r="AG3" s="3">
        <f t="shared" si="3"/>
        <v>0.79880635160721081</v>
      </c>
      <c r="AH3" s="3">
        <f t="shared" si="3"/>
        <v>0.95602154617224055</v>
      </c>
      <c r="AI3" s="3">
        <f t="shared" si="3"/>
        <v>0.77121710396404553</v>
      </c>
      <c r="AJ3" s="3">
        <f t="shared" si="3"/>
        <v>0.76844533470362986</v>
      </c>
      <c r="AK3" s="3"/>
      <c r="AL3" s="9" t="s">
        <v>9</v>
      </c>
      <c r="AM3" s="5" t="s">
        <v>17</v>
      </c>
      <c r="AN3" s="5" t="s">
        <v>17</v>
      </c>
      <c r="AO3" s="5" t="s">
        <v>17</v>
      </c>
      <c r="AP3" s="5" t="s">
        <v>17</v>
      </c>
      <c r="AQ3" s="5" t="s">
        <v>17</v>
      </c>
      <c r="AR3" s="5" t="s">
        <v>17</v>
      </c>
      <c r="AS3" s="5" t="s">
        <v>17</v>
      </c>
      <c r="AT3" s="5" t="s">
        <v>17</v>
      </c>
      <c r="AU3" s="5" t="s">
        <v>17</v>
      </c>
      <c r="AV3" s="5" t="s">
        <v>17</v>
      </c>
      <c r="AW3" s="32"/>
      <c r="AX3" s="32"/>
      <c r="AY3" s="32"/>
      <c r="AZ3" s="32"/>
      <c r="BA3" s="5" t="s">
        <v>8</v>
      </c>
      <c r="BB3" s="2">
        <f>STDEV(BB5:BB256)/AVERAGE(BB5:BB256)</f>
        <v>0.12059436938436248</v>
      </c>
      <c r="BC3" s="12">
        <f t="shared" ref="BC3:BE3" si="4">STDEV(BC5:BC256)/AVERAGE(BC5:BC256)</f>
        <v>0.1134388339484044</v>
      </c>
      <c r="BD3" s="14">
        <f t="shared" si="4"/>
        <v>0.14099305729047062</v>
      </c>
      <c r="BE3" s="16">
        <f t="shared" si="4"/>
        <v>0.17476187293917259</v>
      </c>
      <c r="BG3" s="2" t="s">
        <v>2</v>
      </c>
      <c r="BH3" s="12" t="s">
        <v>3</v>
      </c>
      <c r="BI3" s="14" t="s">
        <v>15</v>
      </c>
      <c r="BJ3" s="16" t="s">
        <v>31</v>
      </c>
      <c r="BK3" s="32" t="s">
        <v>51</v>
      </c>
      <c r="BL3" s="33"/>
    </row>
    <row r="4" spans="1:64" ht="13.5" x14ac:dyDescent="0.2">
      <c r="A4" s="28">
        <v>44158</v>
      </c>
      <c r="B4" s="29">
        <v>208.36343400000001</v>
      </c>
      <c r="C4" s="29">
        <v>113.15244300000001</v>
      </c>
      <c r="D4" s="29">
        <v>3098.389893</v>
      </c>
      <c r="E4" s="29">
        <v>1727.5600589999999</v>
      </c>
      <c r="F4" s="29">
        <v>521.84997599999997</v>
      </c>
      <c r="G4" s="29">
        <v>1734.8599850000001</v>
      </c>
      <c r="H4" s="29">
        <v>268.42999300000002</v>
      </c>
      <c r="I4" s="29">
        <v>131.246567</v>
      </c>
      <c r="J4" s="29">
        <v>229.53999300000001</v>
      </c>
      <c r="K4" s="29">
        <v>114.982529</v>
      </c>
      <c r="L4" s="26">
        <v>3577.59</v>
      </c>
      <c r="N4" s="3">
        <f t="shared" ref="N4:N67" si="5">LN(B5/B4)</f>
        <v>1.7690384448483837E-2</v>
      </c>
      <c r="O4" s="3">
        <f t="shared" ref="O4:O67" si="6">LN(C5/C4)</f>
        <v>1.1527501828466121E-2</v>
      </c>
      <c r="P4" s="3">
        <f t="shared" ref="P4:P67" si="7">LN(D5/D4)</f>
        <v>6.3284452701263079E-3</v>
      </c>
      <c r="Q4" s="3">
        <f t="shared" ref="Q4:Q67" si="8">LN(E5/E4)</f>
        <v>2.0817237760687907E-2</v>
      </c>
      <c r="R4" s="3">
        <f t="shared" ref="R4:R67" si="9">LN(F5/F4)</f>
        <v>6.2272428868509588E-2</v>
      </c>
      <c r="S4" s="3">
        <f t="shared" ref="S4:S67" si="10">LN(G5/G4)</f>
        <v>1.9419870914216212E-2</v>
      </c>
      <c r="T4" s="3">
        <f t="shared" ref="T4:T67" si="11">LN(H5/H4)</f>
        <v>3.1138556508585193E-2</v>
      </c>
      <c r="U4" s="3">
        <f t="shared" ref="U4:U67" si="12">LN(I5/I4)</f>
        <v>-1.3967080396226678E-2</v>
      </c>
      <c r="V4" s="3">
        <f t="shared" ref="V4:V67" si="13">LN(J5/J4)</f>
        <v>1.8901892254734314E-2</v>
      </c>
      <c r="W4" s="3">
        <f t="shared" ref="W4:W67" si="14">LN(K5/K4)</f>
        <v>4.5200206750114276E-2</v>
      </c>
      <c r="X4" s="3">
        <f t="shared" ref="X4:X67" si="15">LN(L5/L4)</f>
        <v>1.6032507557285768E-2</v>
      </c>
      <c r="Z4" s="6">
        <v>2</v>
      </c>
      <c r="AA4" s="3">
        <f>CORREL(INDEX(AREA,0,2),INDEX(AREA,0,1))</f>
        <v>0.88112244604162882</v>
      </c>
      <c r="AB4" s="3">
        <f t="shared" ref="AB4:AB12" si="16">CORREL(INDEX(AREA,0,Z4),INDEX(AREA,0,2))</f>
        <v>0.99999999999999989</v>
      </c>
      <c r="AC4" s="3">
        <f t="shared" ref="AC4:AJ4" si="17">CORREL(INDEX(AREA,0,2),INDEX(AREA,0,AC2))</f>
        <v>0.73570553875105826</v>
      </c>
      <c r="AD4" s="3">
        <f t="shared" si="17"/>
        <v>0.82348227526291418</v>
      </c>
      <c r="AE4" s="3">
        <f t="shared" si="17"/>
        <v>0.58634654293668897</v>
      </c>
      <c r="AF4" s="3">
        <f t="shared" si="17"/>
        <v>0.81320151303148303</v>
      </c>
      <c r="AG4" s="3">
        <f t="shared" si="17"/>
        <v>0.73360658391083333</v>
      </c>
      <c r="AH4" s="3">
        <f t="shared" si="17"/>
        <v>0.8432733970017533</v>
      </c>
      <c r="AI4" s="3">
        <f t="shared" si="17"/>
        <v>0.53942170957044444</v>
      </c>
      <c r="AJ4" s="3">
        <f t="shared" si="17"/>
        <v>0.50883876055382415</v>
      </c>
      <c r="AK4" s="3"/>
      <c r="AL4" s="8" t="s">
        <v>7</v>
      </c>
      <c r="AM4" s="29">
        <v>208.64111299999999</v>
      </c>
      <c r="AN4" s="29">
        <v>116.621056</v>
      </c>
      <c r="AO4" s="29">
        <v>3099.3999020000001</v>
      </c>
      <c r="AP4" s="29">
        <v>1736.380005</v>
      </c>
      <c r="AQ4" s="29">
        <v>489.60998499999999</v>
      </c>
      <c r="AR4" s="29">
        <v>1742.1899410000001</v>
      </c>
      <c r="AS4" s="29">
        <v>269.70001200000002</v>
      </c>
      <c r="AT4" s="29">
        <v>130.72467</v>
      </c>
      <c r="AU4" s="29">
        <v>227.009995</v>
      </c>
      <c r="AV4" s="29">
        <v>111.763367</v>
      </c>
      <c r="AW4" s="32"/>
      <c r="AX4" s="32"/>
      <c r="AY4" s="32"/>
      <c r="AZ4" s="32"/>
      <c r="BA4" s="5" t="s">
        <v>27</v>
      </c>
      <c r="BB4" s="2">
        <f>MIN(BB5:BB256)/BB5</f>
        <v>1</v>
      </c>
      <c r="BC4" s="12">
        <f t="shared" ref="BC4:BE4" si="18">MIN(BC5:BC256)/BC5</f>
        <v>1</v>
      </c>
      <c r="BD4" s="14">
        <f t="shared" si="18"/>
        <v>1</v>
      </c>
      <c r="BE4" s="16">
        <f t="shared" si="18"/>
        <v>1</v>
      </c>
      <c r="BF4" s="3" t="s">
        <v>43</v>
      </c>
      <c r="BG4" s="2">
        <f>_xlfn.COVARIANCE.P(BG5:BG255,X3:X253)/VAR(X3:X253)</f>
        <v>1.2814144994057701</v>
      </c>
      <c r="BH4" s="12">
        <f>_xlfn.COVARIANCE.P(BH5:BH255,X3:X253)/VAR(X3:X253)</f>
        <v>1.1828999501656667</v>
      </c>
      <c r="BI4" s="14">
        <f>_xlfn.COVARIANCE.P(BI5:BI255,X3:X253)/VAR(X3:X253)</f>
        <v>1.5094270333799957</v>
      </c>
      <c r="BJ4" s="16">
        <f>_xlfn.COVARIANCE.P(BJ5:BJ255,X3:X253)/VAR(X3:X253)</f>
        <v>1.7804465994056098</v>
      </c>
      <c r="BK4" s="33"/>
      <c r="BL4" s="33"/>
    </row>
    <row r="5" spans="1:64" ht="13.5" x14ac:dyDescent="0.2">
      <c r="A5" s="28">
        <v>44159</v>
      </c>
      <c r="B5" s="29">
        <v>212.08225999999999</v>
      </c>
      <c r="C5" s="29">
        <v>114.464355</v>
      </c>
      <c r="D5" s="29">
        <v>3118.0600589999999</v>
      </c>
      <c r="E5" s="29">
        <v>1763.900024</v>
      </c>
      <c r="F5" s="29">
        <v>555.38000499999998</v>
      </c>
      <c r="G5" s="29">
        <v>1768.880005</v>
      </c>
      <c r="H5" s="29">
        <v>276.92001299999998</v>
      </c>
      <c r="I5" s="29">
        <v>129.42617799999999</v>
      </c>
      <c r="J5" s="29">
        <v>233.91999799999999</v>
      </c>
      <c r="K5" s="29">
        <v>120.29901099999999</v>
      </c>
      <c r="L5" s="26">
        <v>3635.41</v>
      </c>
      <c r="N5" s="3">
        <f t="shared" si="5"/>
        <v>4.6763779772161473E-5</v>
      </c>
      <c r="O5" s="3">
        <f t="shared" si="6"/>
        <v>7.4394044391051586E-3</v>
      </c>
      <c r="P5" s="3">
        <f t="shared" si="7"/>
        <v>2.1263255677185941E-2</v>
      </c>
      <c r="Q5" s="3">
        <f t="shared" si="8"/>
        <v>1.303736070471526E-4</v>
      </c>
      <c r="R5" s="3">
        <f t="shared" si="9"/>
        <v>3.2976823175224289E-2</v>
      </c>
      <c r="S5" s="3">
        <f t="shared" si="10"/>
        <v>1.4405797224007766E-3</v>
      </c>
      <c r="T5" s="3">
        <f t="shared" si="11"/>
        <v>-4.814463258145025E-3</v>
      </c>
      <c r="U5" s="3">
        <f t="shared" si="12"/>
        <v>2.1152031503256126E-2</v>
      </c>
      <c r="V5" s="3">
        <f t="shared" si="13"/>
        <v>-3.3829086749604725E-3</v>
      </c>
      <c r="W5" s="3">
        <f t="shared" si="14"/>
        <v>-1.0515630828899726E-2</v>
      </c>
      <c r="X5" s="3">
        <f t="shared" si="15"/>
        <v>-1.5856720266289198E-3</v>
      </c>
      <c r="Z5" s="6">
        <v>3</v>
      </c>
      <c r="AA5" s="3">
        <f>CORREL(INDEX(AREA,0,3),INDEX(AREA,0,1))</f>
        <v>0.6687752198587783</v>
      </c>
      <c r="AB5" s="3">
        <f t="shared" si="16"/>
        <v>0.73570553875105826</v>
      </c>
      <c r="AC5" s="3">
        <f t="shared" ref="AC5:AJ5" si="19">CORREL(INDEX(AREA,0,3),INDEX(AREA,0,AC2))</f>
        <v>1.0000000000000002</v>
      </c>
      <c r="AD5" s="3">
        <f t="shared" si="19"/>
        <v>0.63906727223530546</v>
      </c>
      <c r="AE5" s="3">
        <f t="shared" si="19"/>
        <v>0.29804555628638452</v>
      </c>
      <c r="AF5" s="3">
        <f t="shared" si="19"/>
        <v>0.66269676017685653</v>
      </c>
      <c r="AG5" s="3">
        <f t="shared" si="19"/>
        <v>0.68897361579239569</v>
      </c>
      <c r="AH5" s="3">
        <f t="shared" si="19"/>
        <v>0.67219415796702053</v>
      </c>
      <c r="AI5" s="3">
        <f t="shared" si="19"/>
        <v>0.50304613465104697</v>
      </c>
      <c r="AJ5" s="3">
        <f t="shared" si="19"/>
        <v>0.36334211376343944</v>
      </c>
      <c r="AK5" s="3"/>
      <c r="AL5" s="8" t="s">
        <v>16</v>
      </c>
      <c r="AM5" s="3">
        <f>AM3/AM4</f>
        <v>4.7929192172206257E-4</v>
      </c>
      <c r="AN5" s="3">
        <f t="shared" ref="AN5:AV5" si="20">AN3/AN4</f>
        <v>8.5747808697599179E-4</v>
      </c>
      <c r="AO5" s="3">
        <f t="shared" si="20"/>
        <v>3.2264310241305547E-5</v>
      </c>
      <c r="AP5" s="3">
        <f t="shared" si="20"/>
        <v>5.7591080127647523E-5</v>
      </c>
      <c r="AQ5" s="3">
        <f t="shared" si="20"/>
        <v>2.042442006161292E-4</v>
      </c>
      <c r="AR5" s="3">
        <f t="shared" si="20"/>
        <v>5.7399022716547756E-5</v>
      </c>
      <c r="AS5" s="3">
        <f t="shared" si="20"/>
        <v>3.7078233426255834E-4</v>
      </c>
      <c r="AT5" s="3">
        <f t="shared" si="20"/>
        <v>7.6496655145505443E-4</v>
      </c>
      <c r="AU5" s="3">
        <f t="shared" si="20"/>
        <v>4.4050923837075988E-4</v>
      </c>
      <c r="AV5" s="3">
        <f t="shared" si="20"/>
        <v>8.9474756071012069E-4</v>
      </c>
      <c r="AW5" s="3"/>
      <c r="AY5" s="5"/>
      <c r="AZ5" s="28">
        <v>44155</v>
      </c>
      <c r="BA5" s="3">
        <v>0</v>
      </c>
      <c r="BB5" s="3">
        <f t="shared" ref="BB5:BB68" si="21">SUMPRODUCT(B3:K3*EWS)</f>
        <v>0.99999999999999989</v>
      </c>
      <c r="BC5" s="3">
        <f t="shared" ref="BC5:BC68" si="22">SUMPRODUCT(B3:K3*RE)</f>
        <v>0.99999999999999967</v>
      </c>
      <c r="BD5" s="3">
        <f t="shared" ref="BD5:BD68" si="23">SUMPRODUCT(B3:K3*EWP)</f>
        <v>1.7117824290409649</v>
      </c>
      <c r="BE5" s="3">
        <f t="shared" ref="BE5:BE68" si="24">SUMPRODUCT(B3:K3*DRP)</f>
        <v>1.1223928462371648</v>
      </c>
      <c r="BG5" s="3">
        <f>LN(BB6/BB5)</f>
        <v>6.418726285281698E-3</v>
      </c>
      <c r="BH5" s="3">
        <f t="shared" ref="BH5:BJ5" si="25">LN(BC6/BC5)</f>
        <v>3.7344361605226219E-3</v>
      </c>
      <c r="BI5" s="3">
        <f t="shared" si="25"/>
        <v>1.1615279844901034E-2</v>
      </c>
      <c r="BJ5" s="3">
        <f t="shared" si="25"/>
        <v>2.1235277785105137E-2</v>
      </c>
      <c r="BK5" s="33"/>
      <c r="BL5" s="33"/>
    </row>
    <row r="6" spans="1:64" ht="13.5" x14ac:dyDescent="0.2">
      <c r="A6" s="28">
        <v>44160</v>
      </c>
      <c r="B6" s="29">
        <v>212.09217799999999</v>
      </c>
      <c r="C6" s="29">
        <v>115.31907699999999</v>
      </c>
      <c r="D6" s="29">
        <v>3185.070068</v>
      </c>
      <c r="E6" s="29">
        <v>1764.130005</v>
      </c>
      <c r="F6" s="29">
        <v>574</v>
      </c>
      <c r="G6" s="29">
        <v>1771.4300539999999</v>
      </c>
      <c r="H6" s="29">
        <v>275.58999599999999</v>
      </c>
      <c r="I6" s="29">
        <v>132.19296299999999</v>
      </c>
      <c r="J6" s="29">
        <v>233.13000500000001</v>
      </c>
      <c r="K6" s="29">
        <v>119.04061900000001</v>
      </c>
      <c r="L6" s="26">
        <v>3629.65</v>
      </c>
      <c r="N6" s="3">
        <f t="shared" si="5"/>
        <v>6.338866116329266E-3</v>
      </c>
      <c r="O6" s="3">
        <f t="shared" si="6"/>
        <v>4.8147471806917952E-3</v>
      </c>
      <c r="P6" s="3">
        <f t="shared" si="7"/>
        <v>3.2192378290226307E-3</v>
      </c>
      <c r="Q6" s="3">
        <f t="shared" si="8"/>
        <v>1.2891785399725086E-2</v>
      </c>
      <c r="R6" s="3">
        <f t="shared" si="9"/>
        <v>2.0280770124197645E-2</v>
      </c>
      <c r="S6" s="3">
        <f t="shared" si="10"/>
        <v>1.2208963267730849E-2</v>
      </c>
      <c r="T6" s="3">
        <f t="shared" si="11"/>
        <v>8.0231800967834679E-3</v>
      </c>
      <c r="U6" s="3">
        <f t="shared" si="12"/>
        <v>2.0003284954355303E-3</v>
      </c>
      <c r="V6" s="3">
        <f t="shared" si="13"/>
        <v>-6.8004134535956141E-3</v>
      </c>
      <c r="W6" s="3">
        <f t="shared" si="14"/>
        <v>-6.6598704894105052E-3</v>
      </c>
      <c r="X6" s="3">
        <f t="shared" si="15"/>
        <v>2.3940572799516376E-3</v>
      </c>
      <c r="Z6" s="6">
        <v>4</v>
      </c>
      <c r="AA6" s="3">
        <f>CORREL(INDEX(AREA,0,4),INDEX(AREA,0,1))</f>
        <v>0.96742725285103159</v>
      </c>
      <c r="AB6" s="3">
        <f t="shared" si="16"/>
        <v>0.82348227526291418</v>
      </c>
      <c r="AC6" s="3">
        <f t="shared" ref="AC6:AJ6" si="26">CORREL(INDEX(AREA,0,4),INDEX(AREA,0,AC2))</f>
        <v>0.63906727223530546</v>
      </c>
      <c r="AD6" s="3">
        <f t="shared" si="26"/>
        <v>1.0000000000000002</v>
      </c>
      <c r="AE6" s="3">
        <f t="shared" si="26"/>
        <v>0.41582058343022599</v>
      </c>
      <c r="AF6" s="3">
        <f t="shared" si="26"/>
        <v>0.9976560856164185</v>
      </c>
      <c r="AG6" s="3">
        <f t="shared" si="26"/>
        <v>0.88098246740893427</v>
      </c>
      <c r="AH6" s="3">
        <f t="shared" si="26"/>
        <v>0.89849162532892834</v>
      </c>
      <c r="AI6" s="3">
        <f t="shared" si="26"/>
        <v>0.86992736561964679</v>
      </c>
      <c r="AJ6" s="3">
        <f t="shared" si="26"/>
        <v>0.84005290274678235</v>
      </c>
      <c r="AK6" s="3"/>
      <c r="AL6" s="8"/>
      <c r="AW6" s="3"/>
      <c r="AY6" s="5"/>
      <c r="AZ6" s="28">
        <v>44158</v>
      </c>
      <c r="BA6" s="3">
        <v>1</v>
      </c>
      <c r="BB6" s="3">
        <f t="shared" si="21"/>
        <v>1.0064393704549661</v>
      </c>
      <c r="BC6" s="3">
        <f t="shared" si="22"/>
        <v>1.0037414178554334</v>
      </c>
      <c r="BD6" s="3">
        <f t="shared" si="23"/>
        <v>1.731781181698848</v>
      </c>
      <c r="BE6" s="3">
        <f t="shared" si="24"/>
        <v>1.1464820352018752</v>
      </c>
      <c r="BG6" s="3">
        <f t="shared" ref="BG6:BG69" si="27">LN(BB7/BB6)</f>
        <v>2.2476745571860118E-2</v>
      </c>
      <c r="BH6" s="3">
        <f t="shared" ref="BH6:BH69" si="28">LN(BC7/BC6)</f>
        <v>2.1256433046123954E-2</v>
      </c>
      <c r="BI6" s="3">
        <f t="shared" ref="BI6:BI69" si="29">LN(BD7/BD6)</f>
        <v>2.3685414207552657E-2</v>
      </c>
      <c r="BJ6" s="3">
        <f t="shared" ref="BJ6:BJ69" si="30">LN(BE7/BE6)</f>
        <v>2.7573358856183606E-2</v>
      </c>
      <c r="BK6" s="33"/>
      <c r="BL6" s="33"/>
    </row>
    <row r="7" spans="1:64" ht="13.5" x14ac:dyDescent="0.2">
      <c r="A7" s="28">
        <v>44162</v>
      </c>
      <c r="B7" s="29">
        <v>213.44087200000001</v>
      </c>
      <c r="C7" s="29">
        <v>115.875648</v>
      </c>
      <c r="D7" s="29">
        <v>3195.3400879999999</v>
      </c>
      <c r="E7" s="29">
        <v>1787.0200199999999</v>
      </c>
      <c r="F7" s="29">
        <v>585.76000999999997</v>
      </c>
      <c r="G7" s="29">
        <v>1793.1899410000001</v>
      </c>
      <c r="H7" s="29">
        <v>277.80999800000001</v>
      </c>
      <c r="I7" s="29">
        <v>132.45765700000001</v>
      </c>
      <c r="J7" s="29">
        <v>231.550003</v>
      </c>
      <c r="K7" s="29">
        <v>118.25045799999999</v>
      </c>
      <c r="L7" s="26">
        <v>3638.35</v>
      </c>
      <c r="N7" s="3">
        <f t="shared" si="5"/>
        <v>-5.4041012821078021E-3</v>
      </c>
      <c r="O7" s="3">
        <f t="shared" si="6"/>
        <v>2.088010424792169E-2</v>
      </c>
      <c r="P7" s="3">
        <f t="shared" si="7"/>
        <v>-8.580413537677559E-3</v>
      </c>
      <c r="Q7" s="3">
        <f t="shared" si="8"/>
        <v>-1.8422507446848188E-2</v>
      </c>
      <c r="R7" s="3">
        <f t="shared" si="9"/>
        <v>-3.1493263441175617E-2</v>
      </c>
      <c r="S7" s="3">
        <f t="shared" si="10"/>
        <v>-1.8261954208701407E-2</v>
      </c>
      <c r="T7" s="3">
        <f t="shared" si="11"/>
        <v>-3.0282189099079654E-3</v>
      </c>
      <c r="U7" s="3">
        <f t="shared" si="12"/>
        <v>1.052017262497551E-2</v>
      </c>
      <c r="V7" s="3">
        <f t="shared" si="13"/>
        <v>-1.1466915204896047E-2</v>
      </c>
      <c r="W7" s="3">
        <f t="shared" si="14"/>
        <v>-2.7939913535764426E-2</v>
      </c>
      <c r="X7" s="3">
        <f t="shared" si="15"/>
        <v>-4.6060814384970977E-3</v>
      </c>
      <c r="Z7" s="6">
        <v>5</v>
      </c>
      <c r="AA7" s="3">
        <f>CORREL(INDEX(AREA,0,5),INDEX(AREA,0,1))</f>
        <v>0.58441737087601831</v>
      </c>
      <c r="AB7" s="3">
        <f t="shared" si="16"/>
        <v>0.58634654293668897</v>
      </c>
      <c r="AC7" s="3">
        <f t="shared" ref="AC7:AJ7" si="31">CORREL(INDEX(AREA,0,5),INDEX(AREA,0,AC2))</f>
        <v>0.29804555628638452</v>
      </c>
      <c r="AD7" s="3">
        <f t="shared" si="31"/>
        <v>0.41582058343022599</v>
      </c>
      <c r="AE7" s="3">
        <f t="shared" si="31"/>
        <v>1</v>
      </c>
      <c r="AF7" s="3">
        <f t="shared" si="31"/>
        <v>0.38481848216840281</v>
      </c>
      <c r="AG7" s="3">
        <f t="shared" si="31"/>
        <v>7.0480296022209871E-2</v>
      </c>
      <c r="AH7" s="3">
        <f t="shared" si="31"/>
        <v>0.63349921132234965</v>
      </c>
      <c r="AI7" s="3">
        <f t="shared" si="31"/>
        <v>0.13423595112617626</v>
      </c>
      <c r="AJ7" s="3">
        <f t="shared" si="31"/>
        <v>0.33248291862955509</v>
      </c>
      <c r="AK7" s="3"/>
      <c r="AL7" s="11" t="s">
        <v>23</v>
      </c>
      <c r="AM7" s="12"/>
      <c r="AN7" s="12"/>
      <c r="AO7" s="12"/>
      <c r="AP7" s="12"/>
      <c r="AQ7" s="12"/>
      <c r="AR7" s="12"/>
      <c r="AS7" s="12"/>
      <c r="AT7" s="12"/>
      <c r="AU7" s="12"/>
      <c r="AV7" s="12"/>
      <c r="AW7" s="12"/>
      <c r="AY7" s="5"/>
      <c r="AZ7" s="28">
        <v>44159</v>
      </c>
      <c r="BA7" s="3">
        <f>BA6+1</f>
        <v>2</v>
      </c>
      <c r="BB7" s="3">
        <f t="shared" si="21"/>
        <v>1.0293169962576765</v>
      </c>
      <c r="BC7" s="3">
        <f t="shared" si="22"/>
        <v>1.0253057586266816</v>
      </c>
      <c r="BD7" s="3">
        <f t="shared" si="23"/>
        <v>1.7732887579148904</v>
      </c>
      <c r="BE7" s="3">
        <f t="shared" si="24"/>
        <v>1.1785342587888752</v>
      </c>
      <c r="BG7" s="3">
        <f t="shared" si="27"/>
        <v>6.7889352897032851E-3</v>
      </c>
      <c r="BH7" s="3">
        <f t="shared" si="28"/>
        <v>3.7530305979302969E-3</v>
      </c>
      <c r="BI7" s="3">
        <f t="shared" si="29"/>
        <v>1.6354856365034288E-2</v>
      </c>
      <c r="BJ7" s="3">
        <f t="shared" si="30"/>
        <v>2.8874053733785498E-2</v>
      </c>
      <c r="BK7" s="33"/>
      <c r="BL7" s="33"/>
    </row>
    <row r="8" spans="1:64" ht="13.5" x14ac:dyDescent="0.2">
      <c r="A8" s="28">
        <v>44165</v>
      </c>
      <c r="B8" s="29">
        <v>212.290527</v>
      </c>
      <c r="C8" s="29">
        <v>118.32058000000001</v>
      </c>
      <c r="D8" s="29">
        <v>3168.040039</v>
      </c>
      <c r="E8" s="29">
        <v>1754.400024</v>
      </c>
      <c r="F8" s="29">
        <v>567.59997599999997</v>
      </c>
      <c r="G8" s="29">
        <v>1760.73999</v>
      </c>
      <c r="H8" s="29">
        <v>276.97000100000002</v>
      </c>
      <c r="I8" s="29">
        <v>133.85848999999999</v>
      </c>
      <c r="J8" s="29">
        <v>228.91000399999999</v>
      </c>
      <c r="K8" s="29">
        <v>114.992279</v>
      </c>
      <c r="L8" s="26">
        <v>3621.63</v>
      </c>
      <c r="N8" s="3">
        <f t="shared" si="5"/>
        <v>9.9470788594548457E-3</v>
      </c>
      <c r="O8" s="3">
        <f t="shared" si="6"/>
        <v>3.0361765588259218E-2</v>
      </c>
      <c r="P8" s="3">
        <f t="shared" si="7"/>
        <v>1.6293115745643686E-2</v>
      </c>
      <c r="Q8" s="3">
        <f t="shared" si="8"/>
        <v>2.3078618778116792E-2</v>
      </c>
      <c r="R8" s="3">
        <f t="shared" si="9"/>
        <v>2.978462074185919E-2</v>
      </c>
      <c r="S8" s="3">
        <f t="shared" si="10"/>
        <v>2.0996368958191833E-2</v>
      </c>
      <c r="T8" s="3">
        <f t="shared" si="11"/>
        <v>3.4003798436717199E-2</v>
      </c>
      <c r="U8" s="3">
        <f t="shared" si="12"/>
        <v>-8.5827419908668986E-4</v>
      </c>
      <c r="V8" s="3">
        <f t="shared" si="13"/>
        <v>3.3580746575925316E-3</v>
      </c>
      <c r="W8" s="3">
        <f t="shared" si="14"/>
        <v>1.5655521834119224E-2</v>
      </c>
      <c r="X8" s="3">
        <f t="shared" si="15"/>
        <v>1.1208121636017976E-2</v>
      </c>
      <c r="Z8" s="6">
        <v>6</v>
      </c>
      <c r="AA8" s="3">
        <f>CORREL(INDEX(AREA,0,6),INDEX(AREA,0,1))</f>
        <v>0.95938379095871262</v>
      </c>
      <c r="AB8" s="3">
        <f t="shared" si="16"/>
        <v>0.81320151303148303</v>
      </c>
      <c r="AC8" s="3">
        <f t="shared" ref="AC8:AJ8" si="32">CORREL(INDEX(AREA,0,6),INDEX(AREA,0,AC2))</f>
        <v>0.66269676017685653</v>
      </c>
      <c r="AD8" s="3">
        <f t="shared" si="32"/>
        <v>0.9976560856164185</v>
      </c>
      <c r="AE8" s="3">
        <f t="shared" si="32"/>
        <v>0.38481848216840281</v>
      </c>
      <c r="AF8" s="3">
        <f t="shared" si="32"/>
        <v>1.0000000000000002</v>
      </c>
      <c r="AG8" s="3">
        <f t="shared" si="32"/>
        <v>0.89543913727166724</v>
      </c>
      <c r="AH8" s="3">
        <f t="shared" si="32"/>
        <v>0.89157574697271214</v>
      </c>
      <c r="AI8" s="3">
        <f t="shared" si="32"/>
        <v>0.88627769392872469</v>
      </c>
      <c r="AJ8" s="3">
        <f t="shared" si="32"/>
        <v>0.84250371036831051</v>
      </c>
      <c r="AK8" s="3"/>
      <c r="AL8" s="11"/>
      <c r="AM8" s="12" t="s">
        <v>32</v>
      </c>
      <c r="AN8" s="12" t="s">
        <v>33</v>
      </c>
      <c r="AO8" s="12" t="s">
        <v>34</v>
      </c>
      <c r="AP8" s="12" t="s">
        <v>35</v>
      </c>
      <c r="AQ8" s="12" t="s">
        <v>36</v>
      </c>
      <c r="AR8" s="12" t="s">
        <v>37</v>
      </c>
      <c r="AS8" s="12" t="s">
        <v>38</v>
      </c>
      <c r="AT8" s="12" t="s">
        <v>39</v>
      </c>
      <c r="AU8" s="12" t="s">
        <v>40</v>
      </c>
      <c r="AV8" s="12" t="s">
        <v>41</v>
      </c>
      <c r="AW8" s="12" t="s">
        <v>5</v>
      </c>
      <c r="AY8" s="5"/>
      <c r="AZ8" s="28">
        <v>44160</v>
      </c>
      <c r="BA8" s="3">
        <f t="shared" ref="BA8:BA71" si="33">BA7+1</f>
        <v>3</v>
      </c>
      <c r="BB8" s="3">
        <f t="shared" si="21"/>
        <v>1.0363287369340239</v>
      </c>
      <c r="BC8" s="3">
        <f t="shared" si="22"/>
        <v>1.0291609923910252</v>
      </c>
      <c r="BD8" s="3">
        <f t="shared" si="23"/>
        <v>1.8025290998731651</v>
      </c>
      <c r="BE8" s="3">
        <f t="shared" si="24"/>
        <v>1.21305936151005</v>
      </c>
      <c r="BG8" s="3">
        <f t="shared" si="27"/>
        <v>5.8178818795103018E-3</v>
      </c>
      <c r="BH8" s="3">
        <f t="shared" si="28"/>
        <v>4.1246478071659985E-3</v>
      </c>
      <c r="BI8" s="3">
        <f t="shared" si="29"/>
        <v>1.0249687982912587E-2</v>
      </c>
      <c r="BJ8" s="3">
        <f t="shared" si="30"/>
        <v>1.5616589422976853E-2</v>
      </c>
      <c r="BK8" s="33"/>
      <c r="BL8" s="33"/>
    </row>
    <row r="9" spans="1:64" ht="13.5" x14ac:dyDescent="0.2">
      <c r="A9" s="28">
        <v>44166</v>
      </c>
      <c r="B9" s="29">
        <v>214.412735</v>
      </c>
      <c r="C9" s="29">
        <v>121.96809399999999</v>
      </c>
      <c r="D9" s="29">
        <v>3220.080078</v>
      </c>
      <c r="E9" s="29">
        <v>1795.3599850000001</v>
      </c>
      <c r="F9" s="29">
        <v>584.76000999999997</v>
      </c>
      <c r="G9" s="29">
        <v>1798.099976</v>
      </c>
      <c r="H9" s="29">
        <v>286.54998799999998</v>
      </c>
      <c r="I9" s="29">
        <v>133.743652</v>
      </c>
      <c r="J9" s="29">
        <v>229.679993</v>
      </c>
      <c r="K9" s="29">
        <v>116.806709</v>
      </c>
      <c r="L9" s="26">
        <v>3662.45</v>
      </c>
      <c r="N9" s="3">
        <f t="shared" si="5"/>
        <v>-3.8927044519072272E-3</v>
      </c>
      <c r="O9" s="3">
        <f t="shared" si="6"/>
        <v>2.9292841333142597E-3</v>
      </c>
      <c r="P9" s="3">
        <f t="shared" si="7"/>
        <v>-5.1528923282884347E-3</v>
      </c>
      <c r="Q9" s="3">
        <f t="shared" si="8"/>
        <v>1.6357982072958136E-2</v>
      </c>
      <c r="R9" s="3">
        <f t="shared" si="9"/>
        <v>-2.7637471823376107E-2</v>
      </c>
      <c r="S9" s="3">
        <f t="shared" si="10"/>
        <v>1.6464555046266628E-2</v>
      </c>
      <c r="T9" s="3">
        <f t="shared" si="11"/>
        <v>3.3793856568027597E-3</v>
      </c>
      <c r="U9" s="3">
        <f t="shared" si="12"/>
        <v>1.1472416059358179E-2</v>
      </c>
      <c r="V9" s="3">
        <f t="shared" si="13"/>
        <v>3.2167165944829213E-3</v>
      </c>
      <c r="W9" s="3">
        <f t="shared" si="14"/>
        <v>1.9026163653075231E-2</v>
      </c>
      <c r="X9" s="3">
        <f t="shared" si="15"/>
        <v>1.7895485348597621E-3</v>
      </c>
      <c r="Z9" s="6">
        <v>7</v>
      </c>
      <c r="AA9" s="3">
        <f>CORREL(INDEX(AREA,0,7),INDEX(AREA,0,1))</f>
        <v>0.79880635160721081</v>
      </c>
      <c r="AB9" s="3">
        <f t="shared" si="16"/>
        <v>0.73360658391083333</v>
      </c>
      <c r="AC9" s="3">
        <f t="shared" ref="AC9:AJ9" si="34">CORREL(INDEX(AREA,0,7),INDEX(AREA,0,AC2))</f>
        <v>0.68897361579239569</v>
      </c>
      <c r="AD9" s="3">
        <f t="shared" si="34"/>
        <v>0.88098246740893427</v>
      </c>
      <c r="AE9" s="3">
        <f t="shared" si="34"/>
        <v>7.0480296022209871E-2</v>
      </c>
      <c r="AF9" s="3">
        <f t="shared" si="34"/>
        <v>0.89543913727166724</v>
      </c>
      <c r="AG9" s="3">
        <f t="shared" si="34"/>
        <v>1</v>
      </c>
      <c r="AH9" s="3">
        <f t="shared" si="34"/>
        <v>0.74035207442485351</v>
      </c>
      <c r="AI9" s="3">
        <f t="shared" si="34"/>
        <v>0.82813164423914754</v>
      </c>
      <c r="AJ9" s="3">
        <f t="shared" si="34"/>
        <v>0.6557412787920891</v>
      </c>
      <c r="AK9" s="3"/>
      <c r="AL9" s="8" t="s">
        <v>8</v>
      </c>
      <c r="AM9" s="3">
        <f>STDEV(N3:N253)</f>
        <v>1.2445560790878636E-2</v>
      </c>
      <c r="AN9" s="3">
        <f t="shared" ref="AN9:AV9" si="35">STDEV(O3:O253)</f>
        <v>1.5679151111980469E-2</v>
      </c>
      <c r="AO9" s="3">
        <f t="shared" si="35"/>
        <v>1.4958510156776459E-2</v>
      </c>
      <c r="AP9" s="3">
        <f t="shared" si="35"/>
        <v>1.4995044382877205E-2</v>
      </c>
      <c r="AQ9" s="3">
        <f t="shared" si="35"/>
        <v>3.4444968579282885E-2</v>
      </c>
      <c r="AR9" s="3">
        <f t="shared" si="35"/>
        <v>1.4565987827458427E-2</v>
      </c>
      <c r="AS9" s="3">
        <f t="shared" si="35"/>
        <v>1.8052045731474082E-2</v>
      </c>
      <c r="AT9" s="3">
        <f t="shared" si="35"/>
        <v>2.5444628507564061E-2</v>
      </c>
      <c r="AU9" s="3">
        <f t="shared" si="35"/>
        <v>9.3820716731134041E-3</v>
      </c>
      <c r="AV9" s="3">
        <f t="shared" si="35"/>
        <v>1.3807693150065489E-2</v>
      </c>
      <c r="AW9" s="7"/>
      <c r="AY9" s="5"/>
      <c r="AZ9" s="28">
        <v>44162</v>
      </c>
      <c r="BA9" s="3">
        <f t="shared" si="33"/>
        <v>4</v>
      </c>
      <c r="BB9" s="3">
        <f t="shared" si="21"/>
        <v>1.0423755478738437</v>
      </c>
      <c r="BC9" s="3">
        <f t="shared" si="22"/>
        <v>1.0334146854838833</v>
      </c>
      <c r="BD9" s="3">
        <f t="shared" si="23"/>
        <v>1.821099468391242</v>
      </c>
      <c r="BE9" s="3">
        <f t="shared" si="24"/>
        <v>1.2321519036813913</v>
      </c>
      <c r="BG9" s="3">
        <f t="shared" si="27"/>
        <v>-9.7405752241660187E-3</v>
      </c>
      <c r="BH9" s="3">
        <f t="shared" si="28"/>
        <v>-9.5954583988851205E-3</v>
      </c>
      <c r="BI9" s="3">
        <f t="shared" si="29"/>
        <v>-8.4764360262044851E-3</v>
      </c>
      <c r="BJ9" s="3">
        <f t="shared" si="30"/>
        <v>-8.4010745202867301E-3</v>
      </c>
      <c r="BK9" s="33"/>
      <c r="BL9" s="33"/>
    </row>
    <row r="10" spans="1:64" ht="13.5" x14ac:dyDescent="0.2">
      <c r="A10" s="28">
        <v>44167</v>
      </c>
      <c r="B10" s="29">
        <v>213.579712</v>
      </c>
      <c r="C10" s="29">
        <v>122.325897</v>
      </c>
      <c r="D10" s="29">
        <v>3203.530029</v>
      </c>
      <c r="E10" s="29">
        <v>1824.969971</v>
      </c>
      <c r="F10" s="29">
        <v>568.82000700000003</v>
      </c>
      <c r="G10" s="29">
        <v>1827.9499510000001</v>
      </c>
      <c r="H10" s="29">
        <v>287.51998900000001</v>
      </c>
      <c r="I10" s="29">
        <v>135.28684999999999</v>
      </c>
      <c r="J10" s="29">
        <v>230.41999799999999</v>
      </c>
      <c r="K10" s="29">
        <v>119.050369</v>
      </c>
      <c r="L10" s="26">
        <v>3669.01</v>
      </c>
      <c r="N10" s="3">
        <f t="shared" si="5"/>
        <v>-5.2605938095000131E-3</v>
      </c>
      <c r="O10" s="3">
        <f t="shared" si="6"/>
        <v>-1.138198940425947E-3</v>
      </c>
      <c r="P10" s="3">
        <f t="shared" si="7"/>
        <v>-5.2580294642337738E-3</v>
      </c>
      <c r="Q10" s="3">
        <f t="shared" si="8"/>
        <v>-1.7165719204727521E-3</v>
      </c>
      <c r="R10" s="3">
        <f t="shared" si="9"/>
        <v>4.2270959715764549E-2</v>
      </c>
      <c r="S10" s="3">
        <f t="shared" si="10"/>
        <v>-6.4570257111829182E-4</v>
      </c>
      <c r="T10" s="3">
        <f t="shared" si="11"/>
        <v>-1.9917348961537115E-2</v>
      </c>
      <c r="U10" s="3">
        <f t="shared" si="12"/>
        <v>-1.0729053389185556E-2</v>
      </c>
      <c r="V10" s="3">
        <f t="shared" si="13"/>
        <v>2.6005822449468924E-3</v>
      </c>
      <c r="W10" s="3">
        <f t="shared" si="14"/>
        <v>-6.5767460390447133E-3</v>
      </c>
      <c r="X10" s="3">
        <f t="shared" si="15"/>
        <v>-6.2434142870242462E-4</v>
      </c>
      <c r="Z10" s="6">
        <v>8</v>
      </c>
      <c r="AA10" s="3">
        <f>CORREL(INDEX(AREA,0,8),INDEX(AREA,0,1))</f>
        <v>0.95602154617224055</v>
      </c>
      <c r="AB10" s="3">
        <f t="shared" si="16"/>
        <v>0.8432733970017533</v>
      </c>
      <c r="AC10" s="3">
        <f t="shared" ref="AC10:AJ10" si="36">CORREL(INDEX(AREA,0,8),INDEX(AREA,0,AC2))</f>
        <v>0.67219415796702053</v>
      </c>
      <c r="AD10" s="3">
        <f t="shared" si="36"/>
        <v>0.89849162532892834</v>
      </c>
      <c r="AE10" s="3">
        <f t="shared" si="36"/>
        <v>0.63349921132234965</v>
      </c>
      <c r="AF10" s="3">
        <f t="shared" si="36"/>
        <v>0.89157574697271214</v>
      </c>
      <c r="AG10" s="3">
        <f t="shared" si="36"/>
        <v>0.74035207442485351</v>
      </c>
      <c r="AH10" s="3">
        <f t="shared" si="36"/>
        <v>1</v>
      </c>
      <c r="AI10" s="3">
        <f t="shared" si="36"/>
        <v>0.67135088480327876</v>
      </c>
      <c r="AJ10" s="3">
        <f t="shared" si="36"/>
        <v>0.66401599908178921</v>
      </c>
      <c r="AK10" s="3"/>
      <c r="AL10" s="8" t="s">
        <v>13</v>
      </c>
      <c r="AM10" s="3">
        <f>1/AM9</f>
        <v>80.3499349529433</v>
      </c>
      <c r="AN10" s="3">
        <f t="shared" ref="AN10:AV10" si="37">1/AN9</f>
        <v>63.778963086585605</v>
      </c>
      <c r="AO10" s="3">
        <f t="shared" si="37"/>
        <v>66.851577431124255</v>
      </c>
      <c r="AP10" s="3">
        <f t="shared" si="37"/>
        <v>66.68869891054787</v>
      </c>
      <c r="AQ10" s="3">
        <f t="shared" si="37"/>
        <v>29.031816292654582</v>
      </c>
      <c r="AR10" s="3">
        <f t="shared" si="37"/>
        <v>68.653084970652955</v>
      </c>
      <c r="AS10" s="3">
        <f t="shared" si="37"/>
        <v>55.395383707480931</v>
      </c>
      <c r="AT10" s="3">
        <f t="shared" si="37"/>
        <v>39.301025743123922</v>
      </c>
      <c r="AU10" s="3">
        <f t="shared" si="37"/>
        <v>106.58626738759008</v>
      </c>
      <c r="AV10" s="3">
        <f t="shared" si="37"/>
        <v>72.423393910318538</v>
      </c>
      <c r="AW10" s="3">
        <f>SUM(AM10:AV10)</f>
        <v>649.06014639302214</v>
      </c>
      <c r="AY10" s="5"/>
      <c r="AZ10" s="28">
        <v>44165</v>
      </c>
      <c r="BA10" s="3">
        <f t="shared" si="33"/>
        <v>5</v>
      </c>
      <c r="BB10" s="3">
        <f t="shared" si="21"/>
        <v>1.0322714999456111</v>
      </c>
      <c r="BC10" s="3">
        <f t="shared" si="22"/>
        <v>1.023546020760961</v>
      </c>
      <c r="BD10" s="3">
        <f t="shared" si="23"/>
        <v>1.8057282737589186</v>
      </c>
      <c r="BE10" s="3">
        <f t="shared" si="24"/>
        <v>1.2218438636511884</v>
      </c>
      <c r="BG10" s="3">
        <f t="shared" si="27"/>
        <v>1.8484946962959291E-2</v>
      </c>
      <c r="BH10" s="3">
        <f t="shared" si="28"/>
        <v>1.7114676186361769E-2</v>
      </c>
      <c r="BI10" s="3">
        <f t="shared" si="29"/>
        <v>2.0330680483809097E-2</v>
      </c>
      <c r="BJ10" s="3">
        <f t="shared" si="30"/>
        <v>2.3044581918947336E-2</v>
      </c>
      <c r="BK10" s="33"/>
      <c r="BL10" s="33"/>
    </row>
    <row r="11" spans="1:64" ht="13.5" x14ac:dyDescent="0.2">
      <c r="A11" s="28">
        <v>44168</v>
      </c>
      <c r="B11" s="29">
        <v>212.45910599999999</v>
      </c>
      <c r="C11" s="29">
        <v>122.186745</v>
      </c>
      <c r="D11" s="29">
        <v>3186.7299800000001</v>
      </c>
      <c r="E11" s="29">
        <v>1821.839966</v>
      </c>
      <c r="F11" s="29">
        <v>593.38000499999998</v>
      </c>
      <c r="G11" s="29">
        <v>1826.7700199999999</v>
      </c>
      <c r="H11" s="29">
        <v>281.85000600000001</v>
      </c>
      <c r="I11" s="29">
        <v>133.843109</v>
      </c>
      <c r="J11" s="29">
        <v>231.020004</v>
      </c>
      <c r="K11" s="29">
        <v>118.269974</v>
      </c>
      <c r="L11" s="26">
        <v>3666.72</v>
      </c>
      <c r="N11" s="3">
        <f t="shared" si="5"/>
        <v>5.5989453679992039E-4</v>
      </c>
      <c r="O11" s="3">
        <f t="shared" si="6"/>
        <v>-5.6282672319249239E-3</v>
      </c>
      <c r="P11" s="3">
        <f t="shared" si="7"/>
        <v>-7.6071315588827704E-3</v>
      </c>
      <c r="Q11" s="3">
        <f t="shared" si="8"/>
        <v>1.0533487986455689E-3</v>
      </c>
      <c r="R11" s="3">
        <f t="shared" si="9"/>
        <v>9.4933254869083127E-3</v>
      </c>
      <c r="S11" s="3">
        <f t="shared" si="10"/>
        <v>6.676061038062036E-4</v>
      </c>
      <c r="T11" s="3">
        <f t="shared" si="11"/>
        <v>-7.6573927044792526E-3</v>
      </c>
      <c r="U11" s="3">
        <f t="shared" si="12"/>
        <v>1.2039024546967094E-2</v>
      </c>
      <c r="V11" s="3">
        <f t="shared" si="13"/>
        <v>1.4274371126869686E-3</v>
      </c>
      <c r="W11" s="3">
        <f t="shared" si="14"/>
        <v>9.031983091590208E-3</v>
      </c>
      <c r="X11" s="3">
        <f t="shared" si="15"/>
        <v>8.7974240454147031E-3</v>
      </c>
      <c r="Z11" s="6">
        <v>9</v>
      </c>
      <c r="AA11" s="3">
        <f>CORREL(INDEX(AREA,0,9),INDEX(AREA,0,1))</f>
        <v>0.77121710396404553</v>
      </c>
      <c r="AB11" s="3">
        <f t="shared" si="16"/>
        <v>0.53942170957044444</v>
      </c>
      <c r="AC11" s="3">
        <f t="shared" ref="AC11:AJ11" si="38">CORREL(INDEX(AREA,0,9),INDEX(AREA,0,AC2))</f>
        <v>0.50304613465104697</v>
      </c>
      <c r="AD11" s="3">
        <f t="shared" si="38"/>
        <v>0.86992736561964679</v>
      </c>
      <c r="AE11" s="3">
        <f t="shared" si="38"/>
        <v>0.13423595112617626</v>
      </c>
      <c r="AF11" s="3">
        <f t="shared" si="38"/>
        <v>0.88627769392872469</v>
      </c>
      <c r="AG11" s="3">
        <f t="shared" si="38"/>
        <v>0.82813164423914754</v>
      </c>
      <c r="AH11" s="3">
        <f t="shared" si="38"/>
        <v>0.67135088480327876</v>
      </c>
      <c r="AI11" s="3">
        <f t="shared" si="38"/>
        <v>1</v>
      </c>
      <c r="AJ11" s="3">
        <f t="shared" si="38"/>
        <v>0.91012241552225193</v>
      </c>
      <c r="AK11" s="3"/>
      <c r="AL11" s="8" t="s">
        <v>9</v>
      </c>
      <c r="AM11" s="3">
        <f t="shared" ref="AM11:AV11" si="39">AM10/total</f>
        <v>0.12379428223942963</v>
      </c>
      <c r="AN11" s="3">
        <f t="shared" si="39"/>
        <v>9.8263563771431819E-2</v>
      </c>
      <c r="AO11" s="3">
        <f t="shared" si="39"/>
        <v>0.10299750770808219</v>
      </c>
      <c r="AP11" s="3">
        <f t="shared" si="39"/>
        <v>0.10274656251990273</v>
      </c>
      <c r="AQ11" s="3">
        <f t="shared" si="39"/>
        <v>4.4729007710596812E-2</v>
      </c>
      <c r="AR11" s="3">
        <f t="shared" si="39"/>
        <v>0.10577307103536411</v>
      </c>
      <c r="AS11" s="3">
        <f t="shared" si="39"/>
        <v>8.534707301831107E-2</v>
      </c>
      <c r="AT11" s="3">
        <f t="shared" si="39"/>
        <v>6.0550668472758411E-2</v>
      </c>
      <c r="AU11" s="3">
        <f t="shared" si="39"/>
        <v>0.16421631797902661</v>
      </c>
      <c r="AV11" s="3">
        <f t="shared" si="39"/>
        <v>0.11158194554509647</v>
      </c>
      <c r="AW11" s="3">
        <f>SUM(AM11:AV11)</f>
        <v>0.99999999999999989</v>
      </c>
      <c r="AY11" s="5"/>
      <c r="AZ11" s="28">
        <v>44166</v>
      </c>
      <c r="BA11" s="3">
        <f t="shared" si="33"/>
        <v>6</v>
      </c>
      <c r="BB11" s="3">
        <f t="shared" si="21"/>
        <v>1.0515304356921369</v>
      </c>
      <c r="BC11" s="3">
        <f t="shared" si="22"/>
        <v>1.0412144428570669</v>
      </c>
      <c r="BD11" s="3">
        <f t="shared" si="23"/>
        <v>1.8428156870515568</v>
      </c>
      <c r="BE11" s="3">
        <f t="shared" si="24"/>
        <v>1.2503276829902501</v>
      </c>
      <c r="BG11" s="3">
        <f t="shared" si="27"/>
        <v>3.2378264287749449E-3</v>
      </c>
      <c r="BH11" s="3">
        <f t="shared" si="28"/>
        <v>4.9458822984613342E-3</v>
      </c>
      <c r="BI11" s="3">
        <f t="shared" si="29"/>
        <v>-3.9800963404737306E-3</v>
      </c>
      <c r="BJ11" s="3">
        <f t="shared" si="30"/>
        <v>-1.4070442522148504E-2</v>
      </c>
      <c r="BK11" s="33"/>
      <c r="BL11" s="33"/>
    </row>
    <row r="12" spans="1:64" ht="13.5" x14ac:dyDescent="0.2">
      <c r="A12" s="28">
        <v>44169</v>
      </c>
      <c r="B12" s="29">
        <v>212.57809399999999</v>
      </c>
      <c r="C12" s="29">
        <v>121.50097700000001</v>
      </c>
      <c r="D12" s="29">
        <v>3162.580078</v>
      </c>
      <c r="E12" s="29">
        <v>1823.76001</v>
      </c>
      <c r="F12" s="29">
        <v>599.03997800000002</v>
      </c>
      <c r="G12" s="29">
        <v>1827.98999</v>
      </c>
      <c r="H12" s="29">
        <v>279.70001200000002</v>
      </c>
      <c r="I12" s="29">
        <v>135.46418800000001</v>
      </c>
      <c r="J12" s="29">
        <v>231.35000600000001</v>
      </c>
      <c r="K12" s="29">
        <v>119.343025</v>
      </c>
      <c r="L12" s="26">
        <v>3699.12</v>
      </c>
      <c r="N12" s="3">
        <f t="shared" si="5"/>
        <v>-3.2657802846785481E-4</v>
      </c>
      <c r="O12" s="3">
        <f t="shared" si="6"/>
        <v>1.2195244362286761E-2</v>
      </c>
      <c r="P12" s="3">
        <f t="shared" si="7"/>
        <v>-1.4492590063337756E-3</v>
      </c>
      <c r="Q12" s="3">
        <f t="shared" si="8"/>
        <v>-3.6969935608598113E-3</v>
      </c>
      <c r="R12" s="3">
        <f t="shared" si="9"/>
        <v>6.8886080480147063E-2</v>
      </c>
      <c r="S12" s="3">
        <f t="shared" si="10"/>
        <v>-4.6662621002518407E-3</v>
      </c>
      <c r="T12" s="3">
        <f t="shared" si="11"/>
        <v>2.0804511369729495E-2</v>
      </c>
      <c r="U12" s="3">
        <f t="shared" si="12"/>
        <v>3.5708575432378147E-3</v>
      </c>
      <c r="V12" s="3">
        <f t="shared" si="13"/>
        <v>-9.162229793000496E-3</v>
      </c>
      <c r="W12" s="3">
        <f t="shared" si="14"/>
        <v>-3.76715575675438E-3</v>
      </c>
      <c r="X12" s="3">
        <f t="shared" si="15"/>
        <v>-1.9374711787083175E-3</v>
      </c>
      <c r="Z12" s="6">
        <v>10</v>
      </c>
      <c r="AA12" s="3">
        <f>CORREL(INDEX(AREA,0,10),INDEX(AREA,0,1))</f>
        <v>0.76844533470362986</v>
      </c>
      <c r="AB12" s="3">
        <f t="shared" si="16"/>
        <v>0.50883876055382415</v>
      </c>
      <c r="AC12" s="3">
        <f t="shared" ref="AC12:AJ12" si="40">CORREL(INDEX(AREA,0,10),INDEX(AREA,0,AC2))</f>
        <v>0.36334211376343944</v>
      </c>
      <c r="AD12" s="3">
        <f t="shared" si="40"/>
        <v>0.84005290274678235</v>
      </c>
      <c r="AE12" s="3">
        <f t="shared" si="40"/>
        <v>0.33248291862955509</v>
      </c>
      <c r="AF12" s="3">
        <f t="shared" si="40"/>
        <v>0.84250371036831051</v>
      </c>
      <c r="AG12" s="3">
        <f t="shared" si="40"/>
        <v>0.6557412787920891</v>
      </c>
      <c r="AH12" s="3">
        <f t="shared" si="40"/>
        <v>0.66401599908178921</v>
      </c>
      <c r="AI12" s="3">
        <f t="shared" si="40"/>
        <v>0.91012241552225193</v>
      </c>
      <c r="AJ12" s="3">
        <f t="shared" si="40"/>
        <v>0.99999999999999989</v>
      </c>
      <c r="AK12" s="3"/>
      <c r="AL12" s="8" t="s">
        <v>7</v>
      </c>
      <c r="AM12" s="29">
        <v>208.64111299999999</v>
      </c>
      <c r="AN12" s="29">
        <v>116.621056</v>
      </c>
      <c r="AO12" s="29">
        <v>3099.3999020000001</v>
      </c>
      <c r="AP12" s="29">
        <v>1736.380005</v>
      </c>
      <c r="AQ12" s="29">
        <v>489.60998499999999</v>
      </c>
      <c r="AR12" s="29">
        <v>1742.1899410000001</v>
      </c>
      <c r="AS12" s="29">
        <v>269.70001200000002</v>
      </c>
      <c r="AT12" s="29">
        <v>130.72467</v>
      </c>
      <c r="AU12" s="29">
        <v>227.009995</v>
      </c>
      <c r="AV12" s="29">
        <v>111.763367</v>
      </c>
      <c r="AW12" s="7"/>
      <c r="AY12" s="5"/>
      <c r="AZ12" s="28">
        <v>44167</v>
      </c>
      <c r="BA12" s="3">
        <f t="shared" si="33"/>
        <v>7</v>
      </c>
      <c r="BB12" s="3">
        <f t="shared" si="21"/>
        <v>1.0549406265512944</v>
      </c>
      <c r="BC12" s="3">
        <f t="shared" si="22"/>
        <v>1.0463769229246827</v>
      </c>
      <c r="BD12" s="3">
        <f t="shared" si="23"/>
        <v>1.8354956799092936</v>
      </c>
      <c r="BE12" s="3">
        <f t="shared" si="24"/>
        <v>1.23285820901998</v>
      </c>
      <c r="BG12" s="3">
        <f t="shared" si="27"/>
        <v>-6.7210520437557581E-5</v>
      </c>
      <c r="BH12" s="3">
        <f t="shared" si="28"/>
        <v>-2.0679947886177654E-3</v>
      </c>
      <c r="BI12" s="3">
        <f t="shared" si="29"/>
        <v>8.5597000638403132E-3</v>
      </c>
      <c r="BJ12" s="3">
        <f t="shared" si="30"/>
        <v>2.0504454432080495E-2</v>
      </c>
      <c r="BK12" s="33"/>
      <c r="BL12" s="33"/>
    </row>
    <row r="13" spans="1:64" ht="13.5" x14ac:dyDescent="0.2">
      <c r="A13" s="28">
        <v>44172</v>
      </c>
      <c r="B13" s="29">
        <v>212.50868199999999</v>
      </c>
      <c r="C13" s="29">
        <v>122.991783</v>
      </c>
      <c r="D13" s="29">
        <v>3158</v>
      </c>
      <c r="E13" s="29">
        <v>1817.030029</v>
      </c>
      <c r="F13" s="29">
        <v>641.76000999999997</v>
      </c>
      <c r="G13" s="29">
        <v>1819.4799800000001</v>
      </c>
      <c r="H13" s="29">
        <v>285.57998700000002</v>
      </c>
      <c r="I13" s="29">
        <v>135.94877600000001</v>
      </c>
      <c r="J13" s="29">
        <v>229.240005</v>
      </c>
      <c r="K13" s="29">
        <v>118.89428700000001</v>
      </c>
      <c r="L13" s="26">
        <v>3691.96</v>
      </c>
      <c r="N13" s="3">
        <f t="shared" si="5"/>
        <v>7.9944732892358959E-3</v>
      </c>
      <c r="O13" s="3">
        <f t="shared" si="6"/>
        <v>5.0780347859335218E-3</v>
      </c>
      <c r="P13" s="3">
        <f t="shared" si="7"/>
        <v>6.0897286454580412E-3</v>
      </c>
      <c r="Q13" s="3">
        <f t="shared" si="8"/>
        <v>-3.141958192008007E-3</v>
      </c>
      <c r="R13" s="3">
        <f t="shared" si="9"/>
        <v>1.257332055138599E-2</v>
      </c>
      <c r="S13" s="3">
        <f t="shared" si="10"/>
        <v>-5.1122778692906266E-4</v>
      </c>
      <c r="T13" s="3">
        <f t="shared" si="11"/>
        <v>-7.6628483956623925E-3</v>
      </c>
      <c r="U13" s="3">
        <f t="shared" si="12"/>
        <v>-1.9049737549498003E-2</v>
      </c>
      <c r="V13" s="3">
        <f t="shared" si="13"/>
        <v>-4.5908874717801584E-3</v>
      </c>
      <c r="W13" s="3">
        <f t="shared" si="14"/>
        <v>9.8413816039392412E-4</v>
      </c>
      <c r="X13" s="3">
        <f t="shared" si="15"/>
        <v>2.7832605897471193E-3</v>
      </c>
      <c r="AK13" s="3"/>
      <c r="AL13" s="8" t="s">
        <v>16</v>
      </c>
      <c r="AM13" s="3">
        <f>AM11/AM12</f>
        <v>5.933359943273962E-4</v>
      </c>
      <c r="AN13" s="3">
        <f t="shared" ref="AN13:AV13" si="41">AN11/AN12</f>
        <v>8.4258852682170726E-4</v>
      </c>
      <c r="AO13" s="3">
        <f t="shared" si="41"/>
        <v>3.3231435427748227E-5</v>
      </c>
      <c r="AP13" s="3">
        <f t="shared" si="41"/>
        <v>5.917285514924064E-5</v>
      </c>
      <c r="AQ13" s="3">
        <f t="shared" si="41"/>
        <v>9.1356404242035242E-5</v>
      </c>
      <c r="AR13" s="3">
        <f t="shared" si="41"/>
        <v>6.0712709071578841E-5</v>
      </c>
      <c r="AS13" s="3">
        <f t="shared" si="41"/>
        <v>3.1645186956206388E-4</v>
      </c>
      <c r="AT13" s="3">
        <f t="shared" si="41"/>
        <v>4.6319236049904286E-4</v>
      </c>
      <c r="AU13" s="3">
        <f t="shared" si="41"/>
        <v>7.2338805160991528E-4</v>
      </c>
      <c r="AV13" s="3">
        <f t="shared" si="41"/>
        <v>9.9837673595764577E-4</v>
      </c>
      <c r="AW13" s="7"/>
      <c r="AY13" s="5"/>
      <c r="AZ13" s="28">
        <v>44168</v>
      </c>
      <c r="BA13" s="3">
        <f t="shared" si="33"/>
        <v>8</v>
      </c>
      <c r="BB13" s="3">
        <f t="shared" si="21"/>
        <v>1.0548697258254172</v>
      </c>
      <c r="BC13" s="3">
        <f t="shared" si="22"/>
        <v>1.0442152568286374</v>
      </c>
      <c r="BD13" s="3">
        <f t="shared" si="23"/>
        <v>1.8512744066417617</v>
      </c>
      <c r="BE13" s="3">
        <f t="shared" si="24"/>
        <v>1.2583982413872907</v>
      </c>
      <c r="BG13" s="3">
        <f t="shared" si="27"/>
        <v>1.4917803693840048E-3</v>
      </c>
      <c r="BH13" s="3">
        <f t="shared" si="28"/>
        <v>7.4241709197213031E-4</v>
      </c>
      <c r="BI13" s="3">
        <f t="shared" si="29"/>
        <v>3.1503672870668272E-3</v>
      </c>
      <c r="BJ13" s="3">
        <f t="shared" si="30"/>
        <v>5.2553204684445392E-3</v>
      </c>
    </row>
    <row r="14" spans="1:64" ht="13.5" x14ac:dyDescent="0.2">
      <c r="A14" s="28">
        <v>44173</v>
      </c>
      <c r="B14" s="29">
        <v>214.21438599999999</v>
      </c>
      <c r="C14" s="29">
        <v>123.61792800000001</v>
      </c>
      <c r="D14" s="29">
        <v>3177.290039</v>
      </c>
      <c r="E14" s="29">
        <v>1811.329956</v>
      </c>
      <c r="F14" s="29">
        <v>649.88000499999998</v>
      </c>
      <c r="G14" s="29">
        <v>1818.5500489999999</v>
      </c>
      <c r="H14" s="29">
        <v>283.39999399999999</v>
      </c>
      <c r="I14" s="29">
        <v>133.383499</v>
      </c>
      <c r="J14" s="29">
        <v>228.19000199999999</v>
      </c>
      <c r="K14" s="29">
        <v>119.011353</v>
      </c>
      <c r="L14" s="26">
        <v>3702.25</v>
      </c>
      <c r="N14" s="3">
        <f t="shared" si="5"/>
        <v>-1.9682266060056477E-2</v>
      </c>
      <c r="O14" s="3">
        <f t="shared" si="6"/>
        <v>-2.1125307984910233E-2</v>
      </c>
      <c r="P14" s="3">
        <f t="shared" si="7"/>
        <v>-2.3272627029026695E-2</v>
      </c>
      <c r="Q14" s="3">
        <f t="shared" si="8"/>
        <v>-1.8650972380858118E-2</v>
      </c>
      <c r="R14" s="3">
        <f t="shared" si="9"/>
        <v>-7.2419186928422544E-2</v>
      </c>
      <c r="S14" s="3">
        <f t="shared" si="10"/>
        <v>-1.9108602939231518E-2</v>
      </c>
      <c r="T14" s="3">
        <f t="shared" si="11"/>
        <v>-1.9525956816246467E-2</v>
      </c>
      <c r="U14" s="3">
        <f t="shared" si="12"/>
        <v>-3.1908318018332889E-2</v>
      </c>
      <c r="V14" s="3">
        <f t="shared" si="13"/>
        <v>-2.9844525310921358E-3</v>
      </c>
      <c r="W14" s="3">
        <f t="shared" si="14"/>
        <v>-7.8172957287052491E-3</v>
      </c>
      <c r="X14" s="3">
        <f t="shared" si="15"/>
        <v>-7.9809835607026966E-3</v>
      </c>
      <c r="Z14" s="3" t="s">
        <v>10</v>
      </c>
      <c r="AK14" s="3"/>
      <c r="AL14" s="8"/>
      <c r="AW14" s="3"/>
      <c r="AY14" s="5"/>
      <c r="AZ14" s="28">
        <v>44169</v>
      </c>
      <c r="BA14" s="3">
        <f t="shared" si="33"/>
        <v>9</v>
      </c>
      <c r="BB14" s="3">
        <f t="shared" si="21"/>
        <v>1.0564445341166588</v>
      </c>
      <c r="BC14" s="3">
        <f t="shared" si="22"/>
        <v>1.0449907879311564</v>
      </c>
      <c r="BD14" s="3">
        <f t="shared" si="23"/>
        <v>1.857115797403788</v>
      </c>
      <c r="BE14" s="3">
        <f t="shared" si="24"/>
        <v>1.2650289353728668</v>
      </c>
      <c r="BG14" s="3">
        <f t="shared" si="27"/>
        <v>9.5772694967468947E-3</v>
      </c>
      <c r="BH14" s="3">
        <f t="shared" si="28"/>
        <v>3.9743535269275076E-3</v>
      </c>
      <c r="BI14" s="3">
        <f t="shared" si="29"/>
        <v>2.2830344486024626E-2</v>
      </c>
      <c r="BJ14" s="3">
        <f t="shared" si="30"/>
        <v>4.0627093714197149E-2</v>
      </c>
    </row>
    <row r="15" spans="1:64" ht="13.5" x14ac:dyDescent="0.2">
      <c r="A15" s="28">
        <v>44174</v>
      </c>
      <c r="B15" s="29">
        <v>210.03938299999999</v>
      </c>
      <c r="C15" s="29">
        <v>121.033852</v>
      </c>
      <c r="D15" s="29">
        <v>3104.1999510000001</v>
      </c>
      <c r="E15" s="29">
        <v>1777.8599850000001</v>
      </c>
      <c r="F15" s="29">
        <v>604.47997999999995</v>
      </c>
      <c r="G15" s="29">
        <v>1784.130005</v>
      </c>
      <c r="H15" s="29">
        <v>277.92001299999998</v>
      </c>
      <c r="I15" s="29">
        <v>129.19464099999999</v>
      </c>
      <c r="J15" s="29">
        <v>227.509995</v>
      </c>
      <c r="K15" s="29">
        <v>118.084633</v>
      </c>
      <c r="L15" s="26">
        <v>3672.82</v>
      </c>
      <c r="N15" s="3">
        <f t="shared" si="5"/>
        <v>-6.0617879055678749E-3</v>
      </c>
      <c r="O15" s="3">
        <f t="shared" si="6"/>
        <v>1.1917490181291849E-2</v>
      </c>
      <c r="P15" s="3">
        <f t="shared" si="7"/>
        <v>-8.7337949463344225E-4</v>
      </c>
      <c r="Q15" s="3">
        <f t="shared" si="8"/>
        <v>-5.7593910024783465E-3</v>
      </c>
      <c r="R15" s="3">
        <f t="shared" si="9"/>
        <v>3.6689637080728005E-2</v>
      </c>
      <c r="S15" s="3">
        <f t="shared" si="10"/>
        <v>-4.9446079045062704E-3</v>
      </c>
      <c r="T15" s="3">
        <f t="shared" si="11"/>
        <v>-2.8827419374992829E-3</v>
      </c>
      <c r="U15" s="3">
        <f t="shared" si="12"/>
        <v>3.2044207272870009E-3</v>
      </c>
      <c r="V15" s="3">
        <f t="shared" si="13"/>
        <v>-7.0346482982003289E-4</v>
      </c>
      <c r="W15" s="3">
        <f t="shared" si="14"/>
        <v>-6.4645592040941105E-3</v>
      </c>
      <c r="X15" s="3">
        <f t="shared" si="15"/>
        <v>-1.2859425386560199E-3</v>
      </c>
      <c r="Z15" s="6"/>
      <c r="AA15" s="6" t="s">
        <v>32</v>
      </c>
      <c r="AB15" s="6" t="s">
        <v>33</v>
      </c>
      <c r="AC15" s="6" t="s">
        <v>34</v>
      </c>
      <c r="AD15" s="6" t="s">
        <v>35</v>
      </c>
      <c r="AE15" s="6" t="s">
        <v>36</v>
      </c>
      <c r="AF15" s="6" t="s">
        <v>37</v>
      </c>
      <c r="AG15" s="6" t="s">
        <v>38</v>
      </c>
      <c r="AH15" s="6" t="s">
        <v>39</v>
      </c>
      <c r="AI15" s="6" t="s">
        <v>40</v>
      </c>
      <c r="AJ15" s="6" t="s">
        <v>41</v>
      </c>
      <c r="AK15" s="3"/>
      <c r="AL15" s="13" t="s">
        <v>24</v>
      </c>
      <c r="AM15" s="14"/>
      <c r="AN15" s="14"/>
      <c r="AO15" s="14"/>
      <c r="AP15" s="14"/>
      <c r="AQ15" s="14"/>
      <c r="AR15" s="14"/>
      <c r="AS15" s="14"/>
      <c r="AT15" s="14"/>
      <c r="AU15" s="14"/>
      <c r="AV15" s="14"/>
      <c r="AW15" s="14"/>
      <c r="AY15" s="5"/>
      <c r="AZ15" s="28">
        <v>44172</v>
      </c>
      <c r="BA15" s="3">
        <f t="shared" si="33"/>
        <v>10</v>
      </c>
      <c r="BB15" s="3">
        <f t="shared" si="21"/>
        <v>1.0666109938817705</v>
      </c>
      <c r="BC15" s="3">
        <f t="shared" si="22"/>
        <v>1.0491522147678449</v>
      </c>
      <c r="BD15" s="3">
        <f t="shared" si="23"/>
        <v>1.9000020823725861</v>
      </c>
      <c r="BE15" s="3">
        <f t="shared" si="24"/>
        <v>1.317481671082307</v>
      </c>
      <c r="BG15" s="3">
        <f t="shared" si="27"/>
        <v>1.1735686402517197E-4</v>
      </c>
      <c r="BH15" s="3">
        <f t="shared" si="28"/>
        <v>7.6022578972922163E-6</v>
      </c>
      <c r="BI15" s="3">
        <f t="shared" si="29"/>
        <v>3.2925801154851664E-3</v>
      </c>
      <c r="BJ15" s="3">
        <f t="shared" si="30"/>
        <v>7.5315442005168265E-3</v>
      </c>
    </row>
    <row r="16" spans="1:64" ht="13.5" x14ac:dyDescent="0.2">
      <c r="A16" s="28">
        <v>44175</v>
      </c>
      <c r="B16" s="29">
        <v>208.77001999999999</v>
      </c>
      <c r="C16" s="29">
        <v>122.48490099999999</v>
      </c>
      <c r="D16" s="29">
        <v>3101.48999</v>
      </c>
      <c r="E16" s="29">
        <v>1767.650024</v>
      </c>
      <c r="F16" s="29">
        <v>627.07000700000003</v>
      </c>
      <c r="G16" s="29">
        <v>1775.329956</v>
      </c>
      <c r="H16" s="29">
        <v>277.11999500000002</v>
      </c>
      <c r="I16" s="29">
        <v>129.60929899999999</v>
      </c>
      <c r="J16" s="29">
        <v>227.35000600000001</v>
      </c>
      <c r="K16" s="29">
        <v>117.32373</v>
      </c>
      <c r="L16" s="26">
        <v>3668.1</v>
      </c>
      <c r="N16" s="3">
        <f t="shared" si="5"/>
        <v>1.2931421286681361E-2</v>
      </c>
      <c r="O16" s="3">
        <f t="shared" si="6"/>
        <v>-6.7575292310937405E-3</v>
      </c>
      <c r="P16" s="3">
        <f t="shared" si="7"/>
        <v>4.8022441314097162E-3</v>
      </c>
      <c r="Q16" s="3">
        <f t="shared" si="8"/>
        <v>4.036773736886207E-3</v>
      </c>
      <c r="R16" s="3">
        <f t="shared" si="9"/>
        <v>-2.7615641110934553E-2</v>
      </c>
      <c r="S16" s="3">
        <f t="shared" si="10"/>
        <v>3.6209671248898494E-3</v>
      </c>
      <c r="T16" s="3">
        <f t="shared" si="11"/>
        <v>-1.2966230689177065E-2</v>
      </c>
      <c r="U16" s="3">
        <f t="shared" si="12"/>
        <v>3.1556838668708792E-3</v>
      </c>
      <c r="V16" s="3">
        <f t="shared" si="13"/>
        <v>-4.2315353369881594E-3</v>
      </c>
      <c r="W16" s="3">
        <f t="shared" si="14"/>
        <v>-5.9208518702776325E-3</v>
      </c>
      <c r="X16" s="3">
        <f t="shared" si="15"/>
        <v>-1.2657607983834493E-3</v>
      </c>
      <c r="Z16" s="6" t="s">
        <v>32</v>
      </c>
      <c r="AA16" s="17">
        <f t="array" ref="AA16:AJ25">eigenvalue(Correlation)</f>
        <v>7.4379385829629037</v>
      </c>
      <c r="AB16" s="18">
        <v>0</v>
      </c>
      <c r="AC16" s="18">
        <v>0</v>
      </c>
      <c r="AD16" s="18">
        <v>0</v>
      </c>
      <c r="AE16" s="18">
        <v>0</v>
      </c>
      <c r="AF16" s="18">
        <v>0</v>
      </c>
      <c r="AG16" s="18">
        <v>0</v>
      </c>
      <c r="AH16" s="18">
        <v>0</v>
      </c>
      <c r="AI16" s="18">
        <v>0</v>
      </c>
      <c r="AJ16" s="19">
        <v>0</v>
      </c>
      <c r="AK16" s="3"/>
      <c r="AL16" s="13" t="s">
        <v>12</v>
      </c>
      <c r="AM16" s="14" t="s">
        <v>32</v>
      </c>
      <c r="AN16" s="14" t="s">
        <v>33</v>
      </c>
      <c r="AO16" s="14" t="s">
        <v>34</v>
      </c>
      <c r="AP16" s="14" t="s">
        <v>35</v>
      </c>
      <c r="AQ16" s="14" t="s">
        <v>36</v>
      </c>
      <c r="AR16" s="14" t="s">
        <v>37</v>
      </c>
      <c r="AS16" s="14" t="s">
        <v>38</v>
      </c>
      <c r="AT16" s="14" t="s">
        <v>39</v>
      </c>
      <c r="AU16" s="14" t="s">
        <v>40</v>
      </c>
      <c r="AV16" s="14" t="s">
        <v>41</v>
      </c>
      <c r="AW16" s="14" t="s">
        <v>14</v>
      </c>
      <c r="AY16" s="5"/>
      <c r="AZ16" s="28">
        <v>44173</v>
      </c>
      <c r="BA16" s="3">
        <f t="shared" si="33"/>
        <v>11</v>
      </c>
      <c r="BB16" s="3">
        <f t="shared" si="21"/>
        <v>1.0667361753484557</v>
      </c>
      <c r="BC16" s="3">
        <f t="shared" si="22"/>
        <v>1.0491601907238728</v>
      </c>
      <c r="BD16" s="3">
        <f t="shared" si="23"/>
        <v>1.906268301802083</v>
      </c>
      <c r="BE16" s="3">
        <f t="shared" si="24"/>
        <v>1.3274418030267952</v>
      </c>
      <c r="BG16" s="3">
        <f t="shared" si="27"/>
        <v>-2.4786750329174337E-2</v>
      </c>
      <c r="BH16" s="3">
        <f t="shared" si="28"/>
        <v>-1.9628583732054908E-2</v>
      </c>
      <c r="BI16" s="3">
        <f t="shared" si="29"/>
        <v>-3.8371937494453355E-2</v>
      </c>
      <c r="BJ16" s="3">
        <f t="shared" si="30"/>
        <v>-5.550135900087072E-2</v>
      </c>
    </row>
    <row r="17" spans="1:70" ht="13.5" x14ac:dyDescent="0.2">
      <c r="A17" s="28">
        <v>44176</v>
      </c>
      <c r="B17" s="29">
        <v>211.487244</v>
      </c>
      <c r="C17" s="29">
        <v>121.65999600000001</v>
      </c>
      <c r="D17" s="29">
        <v>3116.419922</v>
      </c>
      <c r="E17" s="29">
        <v>1774.8000489999999</v>
      </c>
      <c r="F17" s="29">
        <v>609.98999000000003</v>
      </c>
      <c r="G17" s="29">
        <v>1781.7700199999999</v>
      </c>
      <c r="H17" s="29">
        <v>273.54998799999998</v>
      </c>
      <c r="I17" s="29">
        <v>130.01895099999999</v>
      </c>
      <c r="J17" s="29">
        <v>226.38999899999999</v>
      </c>
      <c r="K17" s="29">
        <v>116.63112599999999</v>
      </c>
      <c r="L17" s="26">
        <v>3663.46</v>
      </c>
      <c r="N17" s="3">
        <f t="shared" si="5"/>
        <v>4.3980977465639861E-3</v>
      </c>
      <c r="O17" s="3">
        <f t="shared" si="6"/>
        <v>-5.1599609501982186E-3</v>
      </c>
      <c r="P17" s="3">
        <f t="shared" si="7"/>
        <v>1.2927815565592899E-2</v>
      </c>
      <c r="Q17" s="3">
        <f t="shared" si="8"/>
        <v>-1.2781379094224081E-2</v>
      </c>
      <c r="R17" s="3">
        <f t="shared" si="9"/>
        <v>4.7759995442057314E-2</v>
      </c>
      <c r="S17" s="3">
        <f t="shared" si="10"/>
        <v>-1.2259330581304814E-2</v>
      </c>
      <c r="T17" s="3">
        <f t="shared" si="11"/>
        <v>2.336927385097106E-3</v>
      </c>
      <c r="U17" s="3">
        <f t="shared" si="12"/>
        <v>2.2453542412606022E-2</v>
      </c>
      <c r="V17" s="3">
        <f t="shared" si="13"/>
        <v>-1.5760245008553747E-2</v>
      </c>
      <c r="W17" s="3">
        <f t="shared" si="14"/>
        <v>-1.0594560830365939E-2</v>
      </c>
      <c r="X17" s="3">
        <f t="shared" si="15"/>
        <v>-4.3687962305264194E-3</v>
      </c>
      <c r="Z17" s="6" t="s">
        <v>33</v>
      </c>
      <c r="AA17" s="17">
        <v>0</v>
      </c>
      <c r="AB17" s="21">
        <v>1.244606911089337</v>
      </c>
      <c r="AC17" s="21">
        <v>0</v>
      </c>
      <c r="AD17" s="21">
        <v>0</v>
      </c>
      <c r="AE17" s="21">
        <v>0</v>
      </c>
      <c r="AF17" s="21">
        <v>0</v>
      </c>
      <c r="AG17" s="21">
        <v>0</v>
      </c>
      <c r="AH17" s="21">
        <v>0</v>
      </c>
      <c r="AI17" s="21">
        <v>0</v>
      </c>
      <c r="AJ17" s="22">
        <v>0</v>
      </c>
      <c r="AK17" s="3"/>
      <c r="AL17" s="3">
        <v>1</v>
      </c>
      <c r="AM17" s="3">
        <v>0.35905946976366493</v>
      </c>
      <c r="AN17" s="3">
        <v>0.31862902532492482</v>
      </c>
      <c r="AO17" s="3">
        <v>0.26620673935199707</v>
      </c>
      <c r="AP17" s="3">
        <v>0.36128586586024669</v>
      </c>
      <c r="AQ17" s="3">
        <v>0.17789261597570763</v>
      </c>
      <c r="AR17" s="3">
        <v>0.36165188990759928</v>
      </c>
      <c r="AS17" s="3">
        <v>0.32079922042403514</v>
      </c>
      <c r="AT17" s="3">
        <v>0.34108061946308899</v>
      </c>
      <c r="AU17" s="3">
        <v>0.31188113842510201</v>
      </c>
      <c r="AV17" s="3">
        <v>0.29866786042519555</v>
      </c>
      <c r="AW17" s="5">
        <f>AVERAGE(AM17:AV17)</f>
        <v>0.31171544449215627</v>
      </c>
      <c r="AY17" s="5"/>
      <c r="AZ17" s="28">
        <v>44174</v>
      </c>
      <c r="BA17" s="3">
        <f t="shared" si="33"/>
        <v>12</v>
      </c>
      <c r="BB17" s="3">
        <f t="shared" si="21"/>
        <v>1.040620253603437</v>
      </c>
      <c r="BC17" s="3">
        <f t="shared" si="22"/>
        <v>1.0287674570528107</v>
      </c>
      <c r="BD17" s="3">
        <f t="shared" si="23"/>
        <v>1.8345067142184424</v>
      </c>
      <c r="BE17" s="3">
        <f t="shared" si="24"/>
        <v>1.2557741997867184</v>
      </c>
      <c r="BG17" s="3">
        <f t="shared" si="27"/>
        <v>3.2030012024059497E-3</v>
      </c>
      <c r="BH17" s="3">
        <f t="shared" si="28"/>
        <v>3.5787506646253465E-4</v>
      </c>
      <c r="BI17" s="3">
        <f t="shared" si="29"/>
        <v>1.192105837956947E-2</v>
      </c>
      <c r="BJ17" s="3">
        <f t="shared" si="30"/>
        <v>2.3362073008699007E-2</v>
      </c>
    </row>
    <row r="18" spans="1:70" ht="13.5" x14ac:dyDescent="0.2">
      <c r="A18" s="28">
        <v>44179</v>
      </c>
      <c r="B18" s="29">
        <v>212.419434</v>
      </c>
      <c r="C18" s="29">
        <v>121.033852</v>
      </c>
      <c r="D18" s="29">
        <v>3156.969971</v>
      </c>
      <c r="E18" s="29">
        <v>1752.26001</v>
      </c>
      <c r="F18" s="29">
        <v>639.830017</v>
      </c>
      <c r="G18" s="29">
        <v>1760.0600589999999</v>
      </c>
      <c r="H18" s="29">
        <v>274.19000199999999</v>
      </c>
      <c r="I18" s="29">
        <v>132.97135900000001</v>
      </c>
      <c r="J18" s="29">
        <v>222.85000600000001</v>
      </c>
      <c r="K18" s="29">
        <v>115.401993</v>
      </c>
      <c r="L18" s="26">
        <v>3647.49</v>
      </c>
      <c r="N18" s="3">
        <f t="shared" si="5"/>
        <v>-3.2682670470205892E-4</v>
      </c>
      <c r="O18" s="3">
        <f t="shared" si="6"/>
        <v>4.8876160811263246E-2</v>
      </c>
      <c r="P18" s="3">
        <f t="shared" si="7"/>
        <v>2.5783088825104966E-3</v>
      </c>
      <c r="Q18" s="3">
        <f t="shared" si="8"/>
        <v>5.0208431940831156E-3</v>
      </c>
      <c r="R18" s="3">
        <f t="shared" si="9"/>
        <v>-1.0337253756921377E-2</v>
      </c>
      <c r="S18" s="3">
        <f t="shared" si="10"/>
        <v>4.3709436692469317E-3</v>
      </c>
      <c r="T18" s="3">
        <f t="shared" si="11"/>
        <v>4.9477527527129628E-3</v>
      </c>
      <c r="U18" s="3">
        <f t="shared" si="12"/>
        <v>3.8808459862818621E-3</v>
      </c>
      <c r="V18" s="3">
        <f t="shared" si="13"/>
        <v>6.8421390839399684E-3</v>
      </c>
      <c r="W18" s="3">
        <f t="shared" si="14"/>
        <v>1.6931124516725241E-2</v>
      </c>
      <c r="X18" s="3">
        <f t="shared" si="15"/>
        <v>1.2838447626446777E-2</v>
      </c>
      <c r="Z18" s="6" t="s">
        <v>34</v>
      </c>
      <c r="AA18" s="20">
        <v>0</v>
      </c>
      <c r="AB18" s="21">
        <v>0</v>
      </c>
      <c r="AC18" s="21">
        <v>0.80230098587713883</v>
      </c>
      <c r="AD18" s="21">
        <v>0</v>
      </c>
      <c r="AE18" s="21">
        <v>0</v>
      </c>
      <c r="AF18" s="21">
        <v>0</v>
      </c>
      <c r="AG18" s="21">
        <v>0</v>
      </c>
      <c r="AH18" s="21">
        <v>0</v>
      </c>
      <c r="AI18" s="21">
        <v>0</v>
      </c>
      <c r="AJ18" s="22">
        <v>0</v>
      </c>
      <c r="AK18" s="3"/>
      <c r="AL18" s="3">
        <v>2</v>
      </c>
      <c r="AM18" s="3">
        <v>0.11802777816220618</v>
      </c>
      <c r="AN18" s="3">
        <v>0.28643313854509023</v>
      </c>
      <c r="AO18" s="3">
        <v>0.11003817714763245</v>
      </c>
      <c r="AP18" s="3">
        <v>-7.9488808952206128E-2</v>
      </c>
      <c r="AQ18" s="3">
        <v>0.71462846355421861</v>
      </c>
      <c r="AR18" s="3">
        <v>-0.10886302332211925</v>
      </c>
      <c r="AS18" s="3">
        <v>-0.29915448444344378</v>
      </c>
      <c r="AT18" s="3">
        <v>0.21919132631770485</v>
      </c>
      <c r="AU18" s="3">
        <v>-0.40268053837426576</v>
      </c>
      <c r="AV18" s="3">
        <v>-0.25172161547444988</v>
      </c>
      <c r="AW18" s="5">
        <f>AVERAGE(AM18:AV18)</f>
        <v>3.064104131603675E-2</v>
      </c>
      <c r="AY18" s="5"/>
      <c r="AZ18" s="28">
        <v>44175</v>
      </c>
      <c r="BA18" s="3">
        <f t="shared" si="33"/>
        <v>13</v>
      </c>
      <c r="BB18" s="3">
        <f t="shared" si="21"/>
        <v>1.0439587052050663</v>
      </c>
      <c r="BC18" s="3">
        <f t="shared" si="22"/>
        <v>1.0291356931622089</v>
      </c>
      <c r="BD18" s="3">
        <f t="shared" si="23"/>
        <v>1.8565068477555213</v>
      </c>
      <c r="BE18" s="3">
        <f t="shared" si="24"/>
        <v>1.2854570649259562</v>
      </c>
      <c r="BG18" s="3">
        <f t="shared" si="27"/>
        <v>-3.5344213830429839E-3</v>
      </c>
      <c r="BH18" s="3">
        <f t="shared" si="28"/>
        <v>-1.6132342109155722E-3</v>
      </c>
      <c r="BI18" s="3">
        <f t="shared" si="29"/>
        <v>-6.4122475448261645E-3</v>
      </c>
      <c r="BJ18" s="3">
        <f t="shared" si="30"/>
        <v>-1.1199789779843365E-2</v>
      </c>
      <c r="BM18" s="32" t="s">
        <v>49</v>
      </c>
      <c r="BN18" s="33"/>
      <c r="BO18" s="33"/>
      <c r="BP18" s="33"/>
      <c r="BQ18" s="33"/>
      <c r="BR18" s="33"/>
    </row>
    <row r="19" spans="1:70" ht="13.5" x14ac:dyDescent="0.2">
      <c r="A19" s="28">
        <v>44180</v>
      </c>
      <c r="B19" s="29">
        <v>212.350021</v>
      </c>
      <c r="C19" s="29">
        <v>127.096474</v>
      </c>
      <c r="D19" s="29">
        <v>3165.1201169999999</v>
      </c>
      <c r="E19" s="29">
        <v>1761.079956</v>
      </c>
      <c r="F19" s="29">
        <v>633.25</v>
      </c>
      <c r="G19" s="29">
        <v>1767.7700199999999</v>
      </c>
      <c r="H19" s="29">
        <v>275.54998799999998</v>
      </c>
      <c r="I19" s="29">
        <v>133.48840300000001</v>
      </c>
      <c r="J19" s="29">
        <v>224.38000500000001</v>
      </c>
      <c r="K19" s="29">
        <v>117.372513</v>
      </c>
      <c r="L19" s="26">
        <v>3694.62</v>
      </c>
      <c r="N19" s="3">
        <f t="shared" si="5"/>
        <v>2.3766089304284373E-2</v>
      </c>
      <c r="O19" s="3">
        <f t="shared" si="6"/>
        <v>-5.4755294933611545E-4</v>
      </c>
      <c r="P19" s="3">
        <f t="shared" si="7"/>
        <v>2.3678563645222573E-2</v>
      </c>
      <c r="Q19" s="3">
        <f t="shared" si="8"/>
        <v>-2.2113235761033589E-3</v>
      </c>
      <c r="R19" s="3">
        <f t="shared" si="9"/>
        <v>-1.6687987524387379E-2</v>
      </c>
      <c r="S19" s="3">
        <f t="shared" si="10"/>
        <v>-2.7019731531670696E-3</v>
      </c>
      <c r="T19" s="3">
        <f t="shared" si="11"/>
        <v>4.3548855875759216E-4</v>
      </c>
      <c r="U19" s="3">
        <f t="shared" si="12"/>
        <v>-8.8711231277626267E-3</v>
      </c>
      <c r="V19" s="3">
        <f t="shared" si="13"/>
        <v>-1.1069153107233096E-2</v>
      </c>
      <c r="W19" s="3">
        <f t="shared" si="14"/>
        <v>2.9045932090445274E-3</v>
      </c>
      <c r="X19" s="3">
        <f t="shared" si="15"/>
        <v>1.7712784469306416E-3</v>
      </c>
      <c r="Z19" s="6" t="s">
        <v>35</v>
      </c>
      <c r="AA19" s="20">
        <v>0</v>
      </c>
      <c r="AB19" s="21">
        <v>0</v>
      </c>
      <c r="AC19" s="21">
        <v>0</v>
      </c>
      <c r="AD19" s="21">
        <v>0.26438122167778982</v>
      </c>
      <c r="AE19" s="21">
        <v>0</v>
      </c>
      <c r="AF19" s="21">
        <v>0</v>
      </c>
      <c r="AG19" s="21">
        <v>0</v>
      </c>
      <c r="AH19" s="21">
        <v>0</v>
      </c>
      <c r="AI19" s="21">
        <v>0</v>
      </c>
      <c r="AJ19" s="22">
        <v>0</v>
      </c>
      <c r="AK19" s="3"/>
      <c r="AL19" s="3">
        <v>3</v>
      </c>
      <c r="AM19" s="5"/>
      <c r="AN19" s="5"/>
      <c r="AO19" s="5"/>
      <c r="AP19" s="5"/>
      <c r="AQ19" s="5"/>
      <c r="AR19" s="5"/>
      <c r="AS19" s="5"/>
      <c r="AT19" s="5"/>
      <c r="AU19" s="5"/>
      <c r="AV19" s="5"/>
      <c r="AY19" s="5"/>
      <c r="AZ19" s="28">
        <v>44176</v>
      </c>
      <c r="BA19" s="3">
        <f t="shared" si="33"/>
        <v>14</v>
      </c>
      <c r="BB19" s="3">
        <f t="shared" si="21"/>
        <v>1.0402754281952191</v>
      </c>
      <c r="BC19" s="3">
        <f t="shared" si="22"/>
        <v>1.0274767947099701</v>
      </c>
      <c r="BD19" s="3">
        <f t="shared" si="23"/>
        <v>1.844640551751523</v>
      </c>
      <c r="BE19" s="3">
        <f t="shared" si="24"/>
        <v>1.2711405367303656</v>
      </c>
      <c r="BG19" s="3">
        <f t="shared" si="27"/>
        <v>4.417190440046616E-3</v>
      </c>
      <c r="BH19" s="3">
        <f t="shared" si="28"/>
        <v>-7.5023011296348086E-4</v>
      </c>
      <c r="BI19" s="3">
        <f t="shared" si="29"/>
        <v>1.7464697935560509E-2</v>
      </c>
      <c r="BJ19" s="3">
        <f t="shared" si="30"/>
        <v>3.3945228061545145E-2</v>
      </c>
      <c r="BM19" s="33"/>
      <c r="BN19" s="33"/>
      <c r="BO19" s="33"/>
      <c r="BP19" s="33"/>
      <c r="BQ19" s="33"/>
      <c r="BR19" s="33"/>
    </row>
    <row r="20" spans="1:70" ht="13.5" x14ac:dyDescent="0.2">
      <c r="A20" s="28">
        <v>44181</v>
      </c>
      <c r="B20" s="29">
        <v>217.457199</v>
      </c>
      <c r="C20" s="29">
        <v>127.026901</v>
      </c>
      <c r="D20" s="29">
        <v>3240.959961</v>
      </c>
      <c r="E20" s="29">
        <v>1757.1899410000001</v>
      </c>
      <c r="F20" s="29">
        <v>622.77002000000005</v>
      </c>
      <c r="G20" s="29">
        <v>1763</v>
      </c>
      <c r="H20" s="29">
        <v>275.67001299999998</v>
      </c>
      <c r="I20" s="29">
        <v>132.309448</v>
      </c>
      <c r="J20" s="29">
        <v>221.91000399999999</v>
      </c>
      <c r="K20" s="29">
        <v>117.713928</v>
      </c>
      <c r="L20" s="26">
        <v>3701.17</v>
      </c>
      <c r="N20" s="3">
        <f t="shared" si="5"/>
        <v>6.3826673421259943E-4</v>
      </c>
      <c r="O20" s="3">
        <f t="shared" si="6"/>
        <v>6.9393134453332121E-3</v>
      </c>
      <c r="P20" s="3">
        <f t="shared" si="7"/>
        <v>-1.5068253072207985E-3</v>
      </c>
      <c r="Q20" s="3">
        <f t="shared" si="8"/>
        <v>-9.5377291813854761E-3</v>
      </c>
      <c r="R20" s="3">
        <f t="shared" si="9"/>
        <v>5.1831073533235801E-2</v>
      </c>
      <c r="S20" s="3">
        <f t="shared" si="10"/>
        <v>-8.6018223260668023E-3</v>
      </c>
      <c r="T20" s="3">
        <f t="shared" si="11"/>
        <v>-4.3261067127626082E-3</v>
      </c>
      <c r="U20" s="3">
        <f t="shared" si="12"/>
        <v>7.4293523792511628E-3</v>
      </c>
      <c r="V20" s="3">
        <f t="shared" si="13"/>
        <v>1.2405224215599092E-2</v>
      </c>
      <c r="W20" s="3">
        <f t="shared" si="14"/>
        <v>-8.3215852834124856E-3</v>
      </c>
      <c r="X20" s="3">
        <f t="shared" si="15"/>
        <v>5.7411269476310561E-3</v>
      </c>
      <c r="Z20" s="6" t="s">
        <v>36</v>
      </c>
      <c r="AA20" s="20">
        <v>0</v>
      </c>
      <c r="AB20" s="21">
        <v>0</v>
      </c>
      <c r="AC20" s="21">
        <v>0</v>
      </c>
      <c r="AD20" s="21">
        <v>0</v>
      </c>
      <c r="AE20" s="21">
        <v>0.12935953706302797</v>
      </c>
      <c r="AF20" s="21">
        <v>0</v>
      </c>
      <c r="AG20" s="21">
        <v>0</v>
      </c>
      <c r="AH20" s="21">
        <v>0</v>
      </c>
      <c r="AI20" s="21">
        <v>0</v>
      </c>
      <c r="AJ20" s="22">
        <v>0</v>
      </c>
      <c r="AK20" s="3"/>
      <c r="AL20" s="3">
        <v>4</v>
      </c>
      <c r="AM20" s="5"/>
      <c r="AN20" s="5"/>
      <c r="AO20" s="5"/>
      <c r="AP20" s="5"/>
      <c r="AQ20" s="5"/>
      <c r="AR20" s="5"/>
      <c r="AS20" s="5"/>
      <c r="AT20" s="5"/>
      <c r="AU20" s="5"/>
      <c r="AV20" s="5"/>
      <c r="AY20" s="5"/>
      <c r="AZ20" s="28">
        <v>44179</v>
      </c>
      <c r="BA20" s="3">
        <f t="shared" si="33"/>
        <v>15</v>
      </c>
      <c r="BB20" s="3">
        <f t="shared" si="21"/>
        <v>1.044880686535232</v>
      </c>
      <c r="BC20" s="3">
        <f t="shared" si="22"/>
        <v>1.0267062397611126</v>
      </c>
      <c r="BD20" s="3">
        <f t="shared" si="23"/>
        <v>1.8771396088392116</v>
      </c>
      <c r="BE20" s="3">
        <f t="shared" si="24"/>
        <v>1.3150304035524656</v>
      </c>
      <c r="BG20" s="3">
        <f t="shared" si="27"/>
        <v>7.9801808113641095E-3</v>
      </c>
      <c r="BH20" s="3">
        <f t="shared" si="28"/>
        <v>9.1821489319049987E-3</v>
      </c>
      <c r="BI20" s="3">
        <f t="shared" si="29"/>
        <v>6.737886494332883E-3</v>
      </c>
      <c r="BJ20" s="3">
        <f t="shared" si="30"/>
        <v>4.5903743531137261E-3</v>
      </c>
      <c r="BM20" s="33"/>
      <c r="BN20" s="33"/>
      <c r="BO20" s="33"/>
      <c r="BP20" s="33"/>
      <c r="BQ20" s="33"/>
      <c r="BR20" s="33"/>
    </row>
    <row r="21" spans="1:70" ht="13.5" x14ac:dyDescent="0.2">
      <c r="A21" s="28">
        <v>44182</v>
      </c>
      <c r="B21" s="29">
        <v>217.59603899999999</v>
      </c>
      <c r="C21" s="29">
        <v>127.911446</v>
      </c>
      <c r="D21" s="29">
        <v>3236.080078</v>
      </c>
      <c r="E21" s="29">
        <v>1740.51001</v>
      </c>
      <c r="F21" s="29">
        <v>655.90002400000003</v>
      </c>
      <c r="G21" s="29">
        <v>1747.900024</v>
      </c>
      <c r="H21" s="29">
        <v>274.48001099999999</v>
      </c>
      <c r="I21" s="29">
        <v>133.29608200000001</v>
      </c>
      <c r="J21" s="29">
        <v>224.679993</v>
      </c>
      <c r="K21" s="29">
        <v>116.738426</v>
      </c>
      <c r="L21" s="26">
        <v>3722.48</v>
      </c>
      <c r="N21" s="3">
        <f t="shared" si="5"/>
        <v>-3.7898238957785086E-3</v>
      </c>
      <c r="O21" s="3">
        <f t="shared" si="6"/>
        <v>-1.5977689969246613E-2</v>
      </c>
      <c r="P21" s="3">
        <f t="shared" si="7"/>
        <v>-1.0696473565191522E-2</v>
      </c>
      <c r="Q21" s="3">
        <f t="shared" si="8"/>
        <v>-8.2441493941703033E-3</v>
      </c>
      <c r="R21" s="3">
        <f t="shared" si="9"/>
        <v>5.7903470674159178E-2</v>
      </c>
      <c r="S21" s="3">
        <f t="shared" si="10"/>
        <v>-9.7100221277968048E-3</v>
      </c>
      <c r="T21" s="3">
        <f t="shared" si="11"/>
        <v>6.9706315598713287E-3</v>
      </c>
      <c r="U21" s="3">
        <f t="shared" si="12"/>
        <v>-5.2042941010444601E-3</v>
      </c>
      <c r="V21" s="3">
        <f t="shared" si="13"/>
        <v>-5.5790019471388978E-3</v>
      </c>
      <c r="W21" s="3">
        <f t="shared" si="14"/>
        <v>-4.9423437047989094E-3</v>
      </c>
      <c r="X21" s="3">
        <f t="shared" si="15"/>
        <v>-3.5172785050231921E-3</v>
      </c>
      <c r="Z21" s="6" t="s">
        <v>37</v>
      </c>
      <c r="AA21" s="20">
        <v>0</v>
      </c>
      <c r="AB21" s="21">
        <v>0</v>
      </c>
      <c r="AC21" s="21">
        <v>0</v>
      </c>
      <c r="AD21" s="21">
        <v>0</v>
      </c>
      <c r="AE21" s="21">
        <v>0</v>
      </c>
      <c r="AF21" s="21">
        <v>5.3377034784761024E-2</v>
      </c>
      <c r="AG21" s="21">
        <v>0</v>
      </c>
      <c r="AH21" s="21">
        <v>0</v>
      </c>
      <c r="AI21" s="21">
        <v>0</v>
      </c>
      <c r="AJ21" s="22">
        <v>0</v>
      </c>
      <c r="AK21" s="3"/>
      <c r="AL21" s="8" t="s">
        <v>28</v>
      </c>
      <c r="AM21" s="3">
        <v>0.1</v>
      </c>
      <c r="AN21" s="3">
        <v>0.1</v>
      </c>
      <c r="AO21" s="3">
        <v>0.1</v>
      </c>
      <c r="AP21" s="3">
        <v>0.1</v>
      </c>
      <c r="AQ21" s="3">
        <v>0.1</v>
      </c>
      <c r="AR21" s="3">
        <v>0.1</v>
      </c>
      <c r="AS21" s="3">
        <v>0.1</v>
      </c>
      <c r="AT21" s="3">
        <v>0.1</v>
      </c>
      <c r="AU21" s="3">
        <v>0.1</v>
      </c>
      <c r="AV21" s="3">
        <v>0.1</v>
      </c>
      <c r="AW21" s="3"/>
      <c r="AY21" s="5"/>
      <c r="AZ21" s="28">
        <v>44180</v>
      </c>
      <c r="BA21" s="3">
        <f t="shared" si="33"/>
        <v>16</v>
      </c>
      <c r="BB21" s="3">
        <f t="shared" si="21"/>
        <v>1.0532523827367319</v>
      </c>
      <c r="BC21" s="3">
        <f t="shared" si="22"/>
        <v>1.0361770238976125</v>
      </c>
      <c r="BD21" s="3">
        <f t="shared" si="23"/>
        <v>1.8898302685579249</v>
      </c>
      <c r="BE21" s="3">
        <f t="shared" si="24"/>
        <v>1.3210807614702129</v>
      </c>
      <c r="BG21" s="3">
        <f t="shared" si="27"/>
        <v>5.2856195244843792E-4</v>
      </c>
      <c r="BH21" s="3">
        <f t="shared" si="28"/>
        <v>1.9867888246604282E-3</v>
      </c>
      <c r="BI21" s="3">
        <f t="shared" si="29"/>
        <v>-1.0100648262877509E-3</v>
      </c>
      <c r="BJ21" s="3">
        <f t="shared" si="30"/>
        <v>-3.3542569902393535E-3</v>
      </c>
      <c r="BM21" s="33"/>
      <c r="BN21" s="33"/>
      <c r="BO21" s="33"/>
      <c r="BP21" s="33"/>
      <c r="BQ21" s="33"/>
      <c r="BR21" s="33"/>
    </row>
    <row r="22" spans="1:70" ht="13.5" x14ac:dyDescent="0.2">
      <c r="A22" s="28">
        <v>44183</v>
      </c>
      <c r="B22" s="29">
        <v>216.77294900000001</v>
      </c>
      <c r="C22" s="29">
        <v>125.883957</v>
      </c>
      <c r="D22" s="29">
        <v>3201.6499020000001</v>
      </c>
      <c r="E22" s="29">
        <v>1726.219971</v>
      </c>
      <c r="F22" s="29">
        <v>695</v>
      </c>
      <c r="G22" s="29">
        <v>1731.01001</v>
      </c>
      <c r="H22" s="29">
        <v>276.39999399999999</v>
      </c>
      <c r="I22" s="29">
        <v>132.60417200000001</v>
      </c>
      <c r="J22" s="29">
        <v>223.429993</v>
      </c>
      <c r="K22" s="29">
        <v>116.162888</v>
      </c>
      <c r="L22" s="26">
        <v>3709.41</v>
      </c>
      <c r="N22" s="3">
        <f t="shared" si="5"/>
        <v>1.813362353017825E-2</v>
      </c>
      <c r="O22" s="3">
        <f t="shared" si="6"/>
        <v>1.2319182475497422E-2</v>
      </c>
      <c r="P22" s="3">
        <f t="shared" si="7"/>
        <v>1.4139048233269677E-3</v>
      </c>
      <c r="Q22" s="3">
        <f t="shared" si="8"/>
        <v>4.8197828656722959E-3</v>
      </c>
      <c r="R22" s="3">
        <f t="shared" si="9"/>
        <v>-6.7154913570986144E-2</v>
      </c>
      <c r="S22" s="3">
        <f t="shared" si="10"/>
        <v>4.8179168616530148E-3</v>
      </c>
      <c r="T22" s="3">
        <f t="shared" si="11"/>
        <v>-1.3146768787502153E-2</v>
      </c>
      <c r="U22" s="3">
        <f t="shared" si="12"/>
        <v>4.5294704868026501E-3</v>
      </c>
      <c r="V22" s="3">
        <f t="shared" si="13"/>
        <v>2.6855813402516397E-4</v>
      </c>
      <c r="W22" s="3">
        <f t="shared" si="14"/>
        <v>3.6850445545940247E-2</v>
      </c>
      <c r="X22" s="3">
        <f t="shared" si="15"/>
        <v>-3.913931036978114E-3</v>
      </c>
      <c r="Z22" s="6" t="s">
        <v>38</v>
      </c>
      <c r="AA22" s="20">
        <v>0</v>
      </c>
      <c r="AB22" s="21">
        <v>0</v>
      </c>
      <c r="AC22" s="21">
        <v>0</v>
      </c>
      <c r="AD22" s="21">
        <v>0</v>
      </c>
      <c r="AE22" s="21">
        <v>0</v>
      </c>
      <c r="AF22" s="21">
        <v>0</v>
      </c>
      <c r="AG22" s="21">
        <v>8.8226317564163298E-3</v>
      </c>
      <c r="AH22" s="21">
        <v>0</v>
      </c>
      <c r="AI22" s="21">
        <v>0</v>
      </c>
      <c r="AJ22" s="22">
        <v>0</v>
      </c>
      <c r="AK22" s="3"/>
      <c r="AL22" s="8" t="s">
        <v>18</v>
      </c>
      <c r="AW22" s="3"/>
      <c r="AX22" s="34" t="s">
        <v>47</v>
      </c>
      <c r="AY22" s="35"/>
      <c r="AZ22" s="28">
        <v>44181</v>
      </c>
      <c r="BA22" s="3">
        <f t="shared" si="33"/>
        <v>17</v>
      </c>
      <c r="BB22" s="3">
        <f t="shared" si="21"/>
        <v>1.0538092390261316</v>
      </c>
      <c r="BC22" s="3">
        <f t="shared" si="22"/>
        <v>1.0382377352503465</v>
      </c>
      <c r="BD22" s="3">
        <f t="shared" si="23"/>
        <v>1.8879223811831727</v>
      </c>
      <c r="BE22" s="3">
        <f t="shared" si="24"/>
        <v>1.3166569405552093</v>
      </c>
      <c r="BG22" s="3">
        <f t="shared" si="27"/>
        <v>5.9300781500907628E-3</v>
      </c>
      <c r="BH22" s="3">
        <f t="shared" si="28"/>
        <v>2.7880335639468147E-3</v>
      </c>
      <c r="BI22" s="3">
        <f t="shared" si="29"/>
        <v>1.6397605598516208E-2</v>
      </c>
      <c r="BJ22" s="3">
        <f t="shared" si="30"/>
        <v>2.9999727135463842E-2</v>
      </c>
      <c r="BM22" s="33"/>
      <c r="BN22" s="33"/>
      <c r="BO22" s="33"/>
      <c r="BP22" s="33"/>
      <c r="BQ22" s="33"/>
      <c r="BR22" s="33"/>
    </row>
    <row r="23" spans="1:70" ht="13.5" x14ac:dyDescent="0.2">
      <c r="A23" s="28">
        <v>44186</v>
      </c>
      <c r="B23" s="29">
        <v>220.73968500000001</v>
      </c>
      <c r="C23" s="29">
        <v>127.44433600000001</v>
      </c>
      <c r="D23" s="29">
        <v>3206.179932</v>
      </c>
      <c r="E23" s="29">
        <v>1734.5600589999999</v>
      </c>
      <c r="F23" s="29">
        <v>649.85998500000005</v>
      </c>
      <c r="G23" s="29">
        <v>1739.369995</v>
      </c>
      <c r="H23" s="29">
        <v>272.790009</v>
      </c>
      <c r="I23" s="29">
        <v>133.20616100000001</v>
      </c>
      <c r="J23" s="29">
        <v>223.490005</v>
      </c>
      <c r="K23" s="29">
        <v>120.523392</v>
      </c>
      <c r="L23" s="26">
        <v>3694.92</v>
      </c>
      <c r="N23" s="3">
        <f t="shared" si="5"/>
        <v>6.0467035774541041E-3</v>
      </c>
      <c r="O23" s="3">
        <f t="shared" si="6"/>
        <v>2.8066796483747613E-2</v>
      </c>
      <c r="P23" s="3">
        <f t="shared" si="7"/>
        <v>1.0606702414403872E-4</v>
      </c>
      <c r="Q23" s="3">
        <f t="shared" si="8"/>
        <v>-8.3016401808366988E-3</v>
      </c>
      <c r="R23" s="3">
        <f t="shared" si="9"/>
        <v>-1.4757604538313145E-2</v>
      </c>
      <c r="S23" s="3">
        <f t="shared" si="10"/>
        <v>-9.165868848739463E-3</v>
      </c>
      <c r="T23" s="3">
        <f t="shared" si="11"/>
        <v>-2.1116636120878277E-2</v>
      </c>
      <c r="U23" s="3">
        <f t="shared" si="12"/>
        <v>-4.0586007067528688E-3</v>
      </c>
      <c r="V23" s="3">
        <f t="shared" si="13"/>
        <v>-7.2299749739596119E-3</v>
      </c>
      <c r="W23" s="3">
        <f t="shared" si="14"/>
        <v>-1.533354153912706E-2</v>
      </c>
      <c r="X23" s="3">
        <f t="shared" si="15"/>
        <v>-2.0752684841428568E-3</v>
      </c>
      <c r="Z23" s="6" t="s">
        <v>39</v>
      </c>
      <c r="AA23" s="20">
        <v>0</v>
      </c>
      <c r="AB23" s="21">
        <v>0</v>
      </c>
      <c r="AC23" s="21">
        <v>0</v>
      </c>
      <c r="AD23" s="21">
        <v>0</v>
      </c>
      <c r="AE23" s="21">
        <v>0</v>
      </c>
      <c r="AF23" s="21">
        <v>0</v>
      </c>
      <c r="AG23" s="21">
        <v>0</v>
      </c>
      <c r="AH23" s="21">
        <v>2.631462917589503E-2</v>
      </c>
      <c r="AI23" s="21">
        <v>0</v>
      </c>
      <c r="AJ23" s="22">
        <v>0</v>
      </c>
      <c r="AK23" s="3"/>
      <c r="AL23" s="13" t="s">
        <v>12</v>
      </c>
      <c r="AM23" s="14" t="s">
        <v>32</v>
      </c>
      <c r="AN23" s="14" t="s">
        <v>33</v>
      </c>
      <c r="AO23" s="14" t="s">
        <v>34</v>
      </c>
      <c r="AP23" s="14" t="s">
        <v>35</v>
      </c>
      <c r="AQ23" s="14" t="s">
        <v>36</v>
      </c>
      <c r="AR23" s="14" t="s">
        <v>37</v>
      </c>
      <c r="AS23" s="14" t="s">
        <v>38</v>
      </c>
      <c r="AT23" s="14" t="s">
        <v>39</v>
      </c>
      <c r="AU23" s="14" t="s">
        <v>40</v>
      </c>
      <c r="AV23" s="14" t="s">
        <v>41</v>
      </c>
      <c r="AW23" s="14" t="s">
        <v>14</v>
      </c>
      <c r="AX23" s="35"/>
      <c r="AY23" s="35"/>
      <c r="AZ23" s="28">
        <v>44182</v>
      </c>
      <c r="BA23" s="3">
        <f t="shared" si="33"/>
        <v>18</v>
      </c>
      <c r="BB23" s="3">
        <f t="shared" si="21"/>
        <v>1.0600769758860442</v>
      </c>
      <c r="BC23" s="3">
        <f t="shared" si="22"/>
        <v>1.0411364158353098</v>
      </c>
      <c r="BD23" s="3">
        <f t="shared" si="23"/>
        <v>1.9191349944803895</v>
      </c>
      <c r="BE23" s="3">
        <f t="shared" si="24"/>
        <v>1.3567547438461773</v>
      </c>
      <c r="BG23" s="3">
        <f t="shared" si="27"/>
        <v>1.9475932888460903E-3</v>
      </c>
      <c r="BH23" s="3">
        <f t="shared" si="28"/>
        <v>-2.7234292629394769E-3</v>
      </c>
      <c r="BI23" s="3">
        <f t="shared" si="29"/>
        <v>1.2266575060866773E-2</v>
      </c>
      <c r="BJ23" s="3">
        <f t="shared" si="30"/>
        <v>2.5973427381126329E-2</v>
      </c>
      <c r="BM23" s="33"/>
      <c r="BN23" s="33"/>
      <c r="BO23" s="33"/>
      <c r="BP23" s="33"/>
      <c r="BQ23" s="33"/>
      <c r="BR23" s="33"/>
    </row>
    <row r="24" spans="1:70" ht="13.5" x14ac:dyDescent="0.2">
      <c r="A24" s="28">
        <v>44187</v>
      </c>
      <c r="B24" s="29">
        <v>222.07847599999999</v>
      </c>
      <c r="C24" s="29">
        <v>131.07195999999999</v>
      </c>
      <c r="D24" s="29">
        <v>3206.5200199999999</v>
      </c>
      <c r="E24" s="29">
        <v>1720.219971</v>
      </c>
      <c r="F24" s="29">
        <v>640.34002699999996</v>
      </c>
      <c r="G24" s="29">
        <v>1723.5</v>
      </c>
      <c r="H24" s="29">
        <v>267.08999599999999</v>
      </c>
      <c r="I24" s="29">
        <v>132.66662600000001</v>
      </c>
      <c r="J24" s="29">
        <v>221.88000500000001</v>
      </c>
      <c r="K24" s="29">
        <v>118.689438</v>
      </c>
      <c r="L24" s="26">
        <v>3687.26</v>
      </c>
      <c r="N24" s="3">
        <f t="shared" si="5"/>
        <v>-1.3125008367643038E-2</v>
      </c>
      <c r="O24" s="3">
        <f t="shared" si="6"/>
        <v>-7.0002847559838205E-3</v>
      </c>
      <c r="P24" s="3">
        <f t="shared" si="7"/>
        <v>-6.6491790745010822E-3</v>
      </c>
      <c r="Q24" s="3">
        <f t="shared" si="8"/>
        <v>4.6455790395194072E-3</v>
      </c>
      <c r="R24" s="3">
        <f t="shared" si="9"/>
        <v>8.7691851348125939E-3</v>
      </c>
      <c r="S24" s="3">
        <f t="shared" si="10"/>
        <v>5.1390815252105176E-3</v>
      </c>
      <c r="T24" s="3">
        <f t="shared" si="11"/>
        <v>3.8116228367588035E-3</v>
      </c>
      <c r="U24" s="3">
        <f t="shared" si="12"/>
        <v>-2.0466595767375303E-2</v>
      </c>
      <c r="V24" s="3">
        <f t="shared" si="13"/>
        <v>1.0580211432333859E-2</v>
      </c>
      <c r="W24" s="3">
        <f t="shared" si="14"/>
        <v>2.7561128069289523E-2</v>
      </c>
      <c r="X24" s="3">
        <f t="shared" si="15"/>
        <v>7.4553327379252537E-4</v>
      </c>
      <c r="Z24" s="6" t="s">
        <v>40</v>
      </c>
      <c r="AA24" s="20">
        <v>0</v>
      </c>
      <c r="AB24" s="21">
        <v>0</v>
      </c>
      <c r="AC24" s="21">
        <v>0</v>
      </c>
      <c r="AD24" s="21">
        <v>0</v>
      </c>
      <c r="AE24" s="21">
        <v>0</v>
      </c>
      <c r="AF24" s="21">
        <v>0</v>
      </c>
      <c r="AG24" s="21">
        <v>0</v>
      </c>
      <c r="AH24" s="21">
        <v>0</v>
      </c>
      <c r="AI24" s="21">
        <v>7.735232905708711E-4</v>
      </c>
      <c r="AJ24" s="22">
        <v>0</v>
      </c>
      <c r="AK24" s="3"/>
      <c r="AL24" s="3">
        <v>1</v>
      </c>
      <c r="AM24" s="3">
        <v>0.35905946976366493</v>
      </c>
      <c r="AN24" s="3">
        <v>0.31862902532492482</v>
      </c>
      <c r="AO24" s="3">
        <v>0.26620673935199707</v>
      </c>
      <c r="AP24" s="3">
        <v>0.36128586586024669</v>
      </c>
      <c r="AQ24" s="3">
        <v>0.17789261597570763</v>
      </c>
      <c r="AR24" s="3">
        <v>0.36165188990759928</v>
      </c>
      <c r="AS24" s="3">
        <v>0.32079922042403514</v>
      </c>
      <c r="AT24" s="3">
        <v>0.34108061946308899</v>
      </c>
      <c r="AU24" s="3">
        <v>0.31188113842510201</v>
      </c>
      <c r="AV24" s="3">
        <v>0.29866786042519555</v>
      </c>
      <c r="AW24" s="5">
        <f>AVERAGE(AM24:AV24)</f>
        <v>0.31171544449215627</v>
      </c>
      <c r="AX24" s="35"/>
      <c r="AY24" s="35"/>
      <c r="AZ24" s="28">
        <v>44183</v>
      </c>
      <c r="BA24" s="3">
        <f t="shared" si="33"/>
        <v>19</v>
      </c>
      <c r="BB24" s="3">
        <f t="shared" si="21"/>
        <v>1.0621435864951749</v>
      </c>
      <c r="BC24" s="3">
        <f t="shared" si="22"/>
        <v>1.038304812040213</v>
      </c>
      <c r="BD24" s="3">
        <f t="shared" si="23"/>
        <v>1.9428211851579404</v>
      </c>
      <c r="BE24" s="3">
        <f t="shared" si="24"/>
        <v>1.392455948952084</v>
      </c>
      <c r="BG24" s="3">
        <f t="shared" si="27"/>
        <v>-1.718828024301521E-3</v>
      </c>
      <c r="BH24" s="3">
        <f t="shared" si="28"/>
        <v>4.0651222210623525E-3</v>
      </c>
      <c r="BI24" s="3">
        <f t="shared" si="29"/>
        <v>-1.5014755814115212E-2</v>
      </c>
      <c r="BJ24" s="3">
        <f t="shared" si="30"/>
        <v>-3.2306321423894259E-2</v>
      </c>
      <c r="BM24" s="33"/>
      <c r="BN24" s="33"/>
      <c r="BO24" s="33"/>
      <c r="BP24" s="33"/>
      <c r="BQ24" s="33"/>
      <c r="BR24" s="33"/>
    </row>
    <row r="25" spans="1:70" ht="13.5" x14ac:dyDescent="0.2">
      <c r="A25" s="28">
        <v>44188</v>
      </c>
      <c r="B25" s="29">
        <v>219.182739</v>
      </c>
      <c r="C25" s="29">
        <v>130.157623</v>
      </c>
      <c r="D25" s="29">
        <v>3185.2700199999999</v>
      </c>
      <c r="E25" s="29">
        <v>1728.2299800000001</v>
      </c>
      <c r="F25" s="29">
        <v>645.97997999999995</v>
      </c>
      <c r="G25" s="29">
        <v>1732.380005</v>
      </c>
      <c r="H25" s="29">
        <v>268.10998499999999</v>
      </c>
      <c r="I25" s="29">
        <v>129.97898900000001</v>
      </c>
      <c r="J25" s="29">
        <v>224.240005</v>
      </c>
      <c r="K25" s="29">
        <v>122.00614899999999</v>
      </c>
      <c r="L25" s="26">
        <v>3690.01</v>
      </c>
      <c r="N25" s="3">
        <f t="shared" si="5"/>
        <v>7.7968842163272335E-3</v>
      </c>
      <c r="O25" s="3">
        <f t="shared" si="6"/>
        <v>7.6824786696893807E-3</v>
      </c>
      <c r="P25" s="3">
        <f t="shared" si="7"/>
        <v>-3.9572741867471162E-3</v>
      </c>
      <c r="Q25" s="3">
        <f t="shared" si="8"/>
        <v>3.4254141066485809E-3</v>
      </c>
      <c r="R25" s="3">
        <f t="shared" si="9"/>
        <v>2.414958117602484E-2</v>
      </c>
      <c r="S25" s="3">
        <f t="shared" si="10"/>
        <v>3.7277728803884465E-3</v>
      </c>
      <c r="T25" s="3">
        <f t="shared" si="11"/>
        <v>-2.6516458846749806E-3</v>
      </c>
      <c r="U25" s="3">
        <f t="shared" si="12"/>
        <v>-1.1922645861444769E-3</v>
      </c>
      <c r="V25" s="3">
        <f t="shared" si="13"/>
        <v>1.0160452914946562E-2</v>
      </c>
      <c r="W25" s="3">
        <f t="shared" si="14"/>
        <v>-4.4072547396417916E-3</v>
      </c>
      <c r="X25" s="3">
        <f t="shared" si="15"/>
        <v>3.5303368029281483E-3</v>
      </c>
      <c r="Z25" s="6" t="s">
        <v>41</v>
      </c>
      <c r="AA25" s="23">
        <v>0</v>
      </c>
      <c r="AB25" s="24">
        <v>0</v>
      </c>
      <c r="AC25" s="24">
        <v>0</v>
      </c>
      <c r="AD25" s="24">
        <v>0</v>
      </c>
      <c r="AE25" s="24">
        <v>0</v>
      </c>
      <c r="AF25" s="24">
        <v>0</v>
      </c>
      <c r="AG25" s="24">
        <v>0</v>
      </c>
      <c r="AH25" s="24">
        <v>0</v>
      </c>
      <c r="AI25" s="24">
        <v>0</v>
      </c>
      <c r="AJ25" s="25">
        <v>3.2124942322157797E-2</v>
      </c>
      <c r="AK25" s="3"/>
      <c r="AL25" s="3">
        <v>2</v>
      </c>
      <c r="AM25" s="3">
        <v>0.11802777816220618</v>
      </c>
      <c r="AN25" s="3">
        <v>0.28643313854509023</v>
      </c>
      <c r="AO25" s="3">
        <v>0.11003817714763245</v>
      </c>
      <c r="AP25" s="3">
        <v>-7.9488808952206128E-2</v>
      </c>
      <c r="AQ25" s="3">
        <v>0.71462846355421861</v>
      </c>
      <c r="AR25" s="3">
        <v>-0.10886302332211925</v>
      </c>
      <c r="AS25" s="3">
        <v>-0.29915448444344378</v>
      </c>
      <c r="AT25" s="3">
        <v>0.21919132631770485</v>
      </c>
      <c r="AU25" s="3">
        <v>-0.40268053837426576</v>
      </c>
      <c r="AV25" s="3">
        <v>-0.25172161547444988</v>
      </c>
      <c r="AW25" s="5">
        <f>AVERAGE(AM25:AV25)</f>
        <v>3.064104131603675E-2</v>
      </c>
      <c r="AY25" s="5"/>
      <c r="AZ25" s="28">
        <v>44186</v>
      </c>
      <c r="BA25" s="3">
        <f t="shared" si="33"/>
        <v>20</v>
      </c>
      <c r="BB25" s="3">
        <f t="shared" si="21"/>
        <v>1.0603195124167795</v>
      </c>
      <c r="BC25" s="3">
        <f t="shared" si="22"/>
        <v>1.0425342387477707</v>
      </c>
      <c r="BD25" s="3">
        <f t="shared" si="23"/>
        <v>1.9138681051225013</v>
      </c>
      <c r="BE25" s="3">
        <f t="shared" si="24"/>
        <v>1.3481897091653607</v>
      </c>
      <c r="BG25" s="3">
        <f t="shared" si="27"/>
        <v>-4.5317798884383521E-3</v>
      </c>
      <c r="BH25" s="3">
        <f t="shared" si="28"/>
        <v>-3.7178932921001617E-3</v>
      </c>
      <c r="BI25" s="3">
        <f t="shared" si="29"/>
        <v>-7.7271489708817596E-4</v>
      </c>
      <c r="BJ25" s="3">
        <f t="shared" si="30"/>
        <v>2.4202623180330767E-3</v>
      </c>
    </row>
    <row r="26" spans="1:70" ht="13.5" x14ac:dyDescent="0.2">
      <c r="A26" s="28">
        <v>44189</v>
      </c>
      <c r="B26" s="29">
        <v>220.89836099999999</v>
      </c>
      <c r="C26" s="29">
        <v>131.161407</v>
      </c>
      <c r="D26" s="29">
        <v>3172.6899410000001</v>
      </c>
      <c r="E26" s="29">
        <v>1734.160034</v>
      </c>
      <c r="F26" s="29">
        <v>661.77002000000005</v>
      </c>
      <c r="G26" s="29">
        <v>1738.849976</v>
      </c>
      <c r="H26" s="29">
        <v>267.39999399999999</v>
      </c>
      <c r="I26" s="29">
        <v>129.82411200000001</v>
      </c>
      <c r="J26" s="29">
        <v>226.529999</v>
      </c>
      <c r="K26" s="29">
        <v>121.46962000000001</v>
      </c>
      <c r="L26" s="26">
        <v>3703.06</v>
      </c>
      <c r="N26" s="3">
        <f t="shared" si="5"/>
        <v>9.8725688029281909E-3</v>
      </c>
      <c r="O26" s="3">
        <f t="shared" si="6"/>
        <v>3.5141007551727652E-2</v>
      </c>
      <c r="P26" s="3">
        <f t="shared" si="7"/>
        <v>3.4470209478335449E-2</v>
      </c>
      <c r="Q26" s="3">
        <f t="shared" si="8"/>
        <v>2.2691147823584473E-2</v>
      </c>
      <c r="R26" s="3">
        <f t="shared" si="9"/>
        <v>2.8970822371296853E-3</v>
      </c>
      <c r="S26" s="3">
        <f t="shared" si="10"/>
        <v>2.1190338438129151E-2</v>
      </c>
      <c r="T26" s="3">
        <f t="shared" si="11"/>
        <v>3.5271863957790736E-2</v>
      </c>
      <c r="U26" s="3">
        <f t="shared" si="12"/>
        <v>-7.2412318238633828E-3</v>
      </c>
      <c r="V26" s="3">
        <f t="shared" si="13"/>
        <v>8.2648951038929615E-3</v>
      </c>
      <c r="W26" s="3">
        <f t="shared" si="14"/>
        <v>6.5636307620456826E-3</v>
      </c>
      <c r="X26" s="3">
        <f t="shared" si="15"/>
        <v>8.6846946033693542E-3</v>
      </c>
      <c r="AA26" s="3">
        <f>SUM(AA16:AA25)</f>
        <v>7.4379385829629037</v>
      </c>
      <c r="AB26" s="3">
        <f>SUM(AB16:AB25)</f>
        <v>1.244606911089337</v>
      </c>
      <c r="AC26" s="3">
        <f t="shared" ref="AC26:AJ26" si="42">SUM(AC16:AC25)</f>
        <v>0.80230098587713883</v>
      </c>
      <c r="AD26" s="3">
        <f t="shared" si="42"/>
        <v>0.26438122167778982</v>
      </c>
      <c r="AE26" s="3">
        <f t="shared" si="42"/>
        <v>0.12935953706302797</v>
      </c>
      <c r="AF26" s="3">
        <f t="shared" si="42"/>
        <v>5.3377034784761024E-2</v>
      </c>
      <c r="AG26" s="3">
        <f t="shared" si="42"/>
        <v>8.8226317564163298E-3</v>
      </c>
      <c r="AH26" s="3">
        <f t="shared" si="42"/>
        <v>2.631462917589503E-2</v>
      </c>
      <c r="AI26" s="3">
        <f t="shared" si="42"/>
        <v>7.735232905708711E-4</v>
      </c>
      <c r="AJ26" s="3">
        <f t="shared" si="42"/>
        <v>3.2124942322157797E-2</v>
      </c>
      <c r="AK26" s="3"/>
      <c r="AL26" s="3">
        <v>3</v>
      </c>
      <c r="AW26" s="3"/>
      <c r="AY26" s="5"/>
      <c r="AZ26" s="28">
        <v>44187</v>
      </c>
      <c r="BA26" s="3">
        <f t="shared" si="33"/>
        <v>21</v>
      </c>
      <c r="BB26" s="3">
        <f t="shared" si="21"/>
        <v>1.0555252492527742</v>
      </c>
      <c r="BC26" s="3">
        <f t="shared" si="22"/>
        <v>1.0386654041084098</v>
      </c>
      <c r="BD26" s="3">
        <f t="shared" si="23"/>
        <v>1.9123898019536081</v>
      </c>
      <c r="BE26" s="3">
        <f t="shared" si="24"/>
        <v>1.3514566337285081</v>
      </c>
      <c r="BG26" s="3">
        <f t="shared" si="27"/>
        <v>1.5098181621294427E-3</v>
      </c>
      <c r="BH26" s="3">
        <f t="shared" si="28"/>
        <v>2.3368415130733114E-3</v>
      </c>
      <c r="BI26" s="3">
        <f t="shared" si="29"/>
        <v>-3.1589322105609976E-3</v>
      </c>
      <c r="BJ26" s="3">
        <f t="shared" si="30"/>
        <v>-7.154352715347023E-3</v>
      </c>
    </row>
    <row r="27" spans="1:70" ht="13.5" x14ac:dyDescent="0.2">
      <c r="A27" s="28">
        <v>44193</v>
      </c>
      <c r="B27" s="29">
        <v>223.08999600000001</v>
      </c>
      <c r="C27" s="29">
        <v>135.85249300000001</v>
      </c>
      <c r="D27" s="29">
        <v>3283.959961</v>
      </c>
      <c r="E27" s="29">
        <v>1773.959961</v>
      </c>
      <c r="F27" s="29">
        <v>663.69000200000005</v>
      </c>
      <c r="G27" s="29">
        <v>1776.089966</v>
      </c>
      <c r="H27" s="29">
        <v>277</v>
      </c>
      <c r="I27" s="29">
        <v>128.88742099999999</v>
      </c>
      <c r="J27" s="29">
        <v>228.41000399999999</v>
      </c>
      <c r="K27" s="29">
        <v>122.269524</v>
      </c>
      <c r="L27" s="26">
        <v>3735.36</v>
      </c>
      <c r="N27" s="3">
        <f t="shared" si="5"/>
        <v>-3.6072109510531369E-3</v>
      </c>
      <c r="O27" s="3">
        <f t="shared" si="6"/>
        <v>-1.3404268253334279E-2</v>
      </c>
      <c r="P27" s="3">
        <f t="shared" si="7"/>
        <v>1.1517011818973329E-2</v>
      </c>
      <c r="Q27" s="3">
        <f t="shared" si="8"/>
        <v>-9.1740368729720384E-3</v>
      </c>
      <c r="R27" s="3">
        <f t="shared" si="9"/>
        <v>3.4594643939471169E-3</v>
      </c>
      <c r="S27" s="3">
        <f t="shared" si="10"/>
        <v>-9.8280445760927596E-3</v>
      </c>
      <c r="T27" s="3">
        <f t="shared" si="11"/>
        <v>-7.94543002532286E-4</v>
      </c>
      <c r="U27" s="3">
        <f t="shared" si="12"/>
        <v>3.3471552047639941E-3</v>
      </c>
      <c r="V27" s="3">
        <f t="shared" si="13"/>
        <v>5.0657472063579956E-3</v>
      </c>
      <c r="W27" s="3">
        <f t="shared" si="14"/>
        <v>-2.6362374492871782E-3</v>
      </c>
      <c r="X27" s="3">
        <f t="shared" si="15"/>
        <v>-2.2298465500115035E-3</v>
      </c>
      <c r="Z27" s="3" t="s">
        <v>11</v>
      </c>
      <c r="AK27" s="3"/>
      <c r="AL27" s="3">
        <v>4</v>
      </c>
      <c r="AW27" s="3"/>
      <c r="AY27" s="5"/>
      <c r="AZ27" s="28">
        <v>44188</v>
      </c>
      <c r="BA27" s="3">
        <f t="shared" si="33"/>
        <v>22</v>
      </c>
      <c r="BB27" s="3">
        <f t="shared" si="21"/>
        <v>1.0571201041121359</v>
      </c>
      <c r="BC27" s="3">
        <f t="shared" si="22"/>
        <v>1.0410954387399927</v>
      </c>
      <c r="BD27" s="3">
        <f t="shared" si="23"/>
        <v>1.9063582238978538</v>
      </c>
      <c r="BE27" s="3">
        <f t="shared" si="24"/>
        <v>1.3418223409497174</v>
      </c>
      <c r="BG27" s="3">
        <f t="shared" si="27"/>
        <v>5.0594591298613652E-3</v>
      </c>
      <c r="BH27" s="3">
        <f t="shared" si="28"/>
        <v>4.2713297455369325E-3</v>
      </c>
      <c r="BI27" s="3">
        <f t="shared" si="29"/>
        <v>9.5087005826742146E-3</v>
      </c>
      <c r="BJ27" s="3">
        <f t="shared" si="30"/>
        <v>1.4967933371890814E-2</v>
      </c>
    </row>
    <row r="28" spans="1:70" ht="13.5" x14ac:dyDescent="0.2">
      <c r="A28" s="28">
        <v>44194</v>
      </c>
      <c r="B28" s="29">
        <v>222.28671299999999</v>
      </c>
      <c r="C28" s="29">
        <v>134.04364000000001</v>
      </c>
      <c r="D28" s="29">
        <v>3322</v>
      </c>
      <c r="E28" s="29">
        <v>1757.76001</v>
      </c>
      <c r="F28" s="29">
        <v>665.98999000000003</v>
      </c>
      <c r="G28" s="29">
        <v>1758.719971</v>
      </c>
      <c r="H28" s="29">
        <v>276.77999899999998</v>
      </c>
      <c r="I28" s="29">
        <v>129.31954999999999</v>
      </c>
      <c r="J28" s="29">
        <v>229.570007</v>
      </c>
      <c r="K28" s="29">
        <v>121.94761699999999</v>
      </c>
      <c r="L28" s="26">
        <v>3727.04</v>
      </c>
      <c r="N28" s="3">
        <f t="shared" si="5"/>
        <v>-1.1080548745301969E-2</v>
      </c>
      <c r="O28" s="3">
        <f t="shared" si="6"/>
        <v>-8.5633287136343359E-3</v>
      </c>
      <c r="P28" s="3">
        <f t="shared" si="7"/>
        <v>-1.0941610997587215E-2</v>
      </c>
      <c r="Q28" s="3">
        <f t="shared" si="8"/>
        <v>-1.2312661774760812E-2</v>
      </c>
      <c r="R28" s="3">
        <f t="shared" si="9"/>
        <v>4.2320650033123755E-2</v>
      </c>
      <c r="S28" s="3">
        <f t="shared" si="10"/>
        <v>-1.0977030644461384E-2</v>
      </c>
      <c r="T28" s="3">
        <f t="shared" si="11"/>
        <v>-1.7898970706711304E-2</v>
      </c>
      <c r="U28" s="3">
        <f t="shared" si="12"/>
        <v>1.5524142389061687E-2</v>
      </c>
      <c r="V28" s="3">
        <f t="shared" si="13"/>
        <v>3.4836026581896854E-4</v>
      </c>
      <c r="W28" s="3">
        <f t="shared" si="14"/>
        <v>2.7958393027020605E-3</v>
      </c>
      <c r="X28" s="3">
        <f t="shared" si="15"/>
        <v>1.3406481091209083E-3</v>
      </c>
      <c r="Z28" s="6"/>
      <c r="AA28" s="6">
        <v>1</v>
      </c>
      <c r="AB28" s="6">
        <v>2</v>
      </c>
      <c r="AC28" s="6">
        <v>3</v>
      </c>
      <c r="AD28" s="6">
        <v>4</v>
      </c>
      <c r="AE28" s="6">
        <v>5</v>
      </c>
      <c r="AF28" s="6">
        <v>6</v>
      </c>
      <c r="AG28" s="6">
        <v>7</v>
      </c>
      <c r="AH28" s="6">
        <v>8</v>
      </c>
      <c r="AI28" s="6">
        <v>9</v>
      </c>
      <c r="AJ28" s="6">
        <v>10</v>
      </c>
      <c r="AK28" s="3"/>
      <c r="AL28" s="8" t="s">
        <v>29</v>
      </c>
      <c r="AM28" s="3">
        <f>(AM24+AM25)/2</f>
        <v>0.23854362396293555</v>
      </c>
      <c r="AN28" s="3">
        <f t="shared" ref="AN28:AV28" si="43">(AN24+AN25)/2</f>
        <v>0.30253108193500755</v>
      </c>
      <c r="AO28" s="3">
        <f t="shared" si="43"/>
        <v>0.18812245824981477</v>
      </c>
      <c r="AP28" s="3">
        <f t="shared" si="43"/>
        <v>0.14089852845402029</v>
      </c>
      <c r="AQ28" s="3">
        <f t="shared" si="43"/>
        <v>0.4462605397649631</v>
      </c>
      <c r="AR28" s="3">
        <f t="shared" si="43"/>
        <v>0.12639443329274003</v>
      </c>
      <c r="AS28" s="3">
        <f t="shared" si="43"/>
        <v>1.0822367990295678E-2</v>
      </c>
      <c r="AT28" s="3">
        <f t="shared" si="43"/>
        <v>0.28013597289039693</v>
      </c>
      <c r="AU28" s="3">
        <f t="shared" si="43"/>
        <v>-4.5399699974581875E-2</v>
      </c>
      <c r="AV28" s="3">
        <f t="shared" si="43"/>
        <v>2.3473122475372837E-2</v>
      </c>
      <c r="AW28" s="7"/>
      <c r="AY28" s="5"/>
      <c r="AZ28" s="28">
        <v>44189</v>
      </c>
      <c r="BA28" s="3">
        <f t="shared" si="33"/>
        <v>23</v>
      </c>
      <c r="BB28" s="3">
        <f t="shared" si="21"/>
        <v>1.0624821130687203</v>
      </c>
      <c r="BC28" s="3">
        <f t="shared" si="22"/>
        <v>1.0455518111982796</v>
      </c>
      <c r="BD28" s="3">
        <f t="shared" si="23"/>
        <v>1.9245716693206669</v>
      </c>
      <c r="BE28" s="3">
        <f t="shared" si="24"/>
        <v>1.3620577113929233</v>
      </c>
      <c r="BG28" s="3">
        <f t="shared" si="27"/>
        <v>1.6680748729998716E-2</v>
      </c>
      <c r="BH28" s="3">
        <f t="shared" si="28"/>
        <v>1.7543765453386439E-2</v>
      </c>
      <c r="BI28" s="3">
        <f t="shared" si="29"/>
        <v>1.4075063573707742E-2</v>
      </c>
      <c r="BJ28" s="3">
        <f t="shared" si="30"/>
        <v>1.0955914490841007E-2</v>
      </c>
    </row>
    <row r="29" spans="1:70" ht="13.5" x14ac:dyDescent="0.2">
      <c r="A29" s="28">
        <v>44195</v>
      </c>
      <c r="B29" s="29">
        <v>219.83725000000001</v>
      </c>
      <c r="C29" s="29">
        <v>132.90068099999999</v>
      </c>
      <c r="D29" s="29">
        <v>3285.8500979999999</v>
      </c>
      <c r="E29" s="29">
        <v>1736.25</v>
      </c>
      <c r="F29" s="29">
        <v>694.78002900000001</v>
      </c>
      <c r="G29" s="29">
        <v>1739.5200199999999</v>
      </c>
      <c r="H29" s="29">
        <v>271.86999500000002</v>
      </c>
      <c r="I29" s="29">
        <v>131.34278900000001</v>
      </c>
      <c r="J29" s="29">
        <v>229.64999399999999</v>
      </c>
      <c r="K29" s="29">
        <v>122.28904</v>
      </c>
      <c r="L29" s="26">
        <v>3732.04</v>
      </c>
      <c r="N29" s="3">
        <f t="shared" si="5"/>
        <v>3.3326192348858926E-3</v>
      </c>
      <c r="O29" s="3">
        <f t="shared" si="6"/>
        <v>-7.7324274502858972E-3</v>
      </c>
      <c r="P29" s="3">
        <f t="shared" si="7"/>
        <v>-8.8403871796463879E-3</v>
      </c>
      <c r="Q29" s="3">
        <f t="shared" si="8"/>
        <v>9.3956160853202915E-3</v>
      </c>
      <c r="R29" s="3">
        <f t="shared" si="9"/>
        <v>1.5552391600051721E-2</v>
      </c>
      <c r="S29" s="3">
        <f t="shared" si="10"/>
        <v>7.0802752738715292E-3</v>
      </c>
      <c r="T29" s="3">
        <f t="shared" si="11"/>
        <v>4.7337262582258432E-3</v>
      </c>
      <c r="U29" s="3">
        <f t="shared" si="12"/>
        <v>-6.9273094951739769E-3</v>
      </c>
      <c r="V29" s="3">
        <f t="shared" si="13"/>
        <v>9.6204635779942333E-3</v>
      </c>
      <c r="W29" s="3">
        <f t="shared" si="14"/>
        <v>1.3548486120216092E-2</v>
      </c>
      <c r="X29" s="3">
        <f t="shared" si="15"/>
        <v>6.4181969787920831E-3</v>
      </c>
      <c r="Z29" s="6" t="s">
        <v>32</v>
      </c>
      <c r="AA29" s="17">
        <f t="array" ref="AA29:AJ38">eigenvector(Correlation)</f>
        <v>0.35905946976366493</v>
      </c>
      <c r="AB29" s="18">
        <v>-0.11802777816220632</v>
      </c>
      <c r="AC29" s="18">
        <v>6.5643682102231107E-2</v>
      </c>
      <c r="AD29" s="18">
        <v>-0.14517829881679614</v>
      </c>
      <c r="AE29" s="18">
        <v>-0.11980628581788716</v>
      </c>
      <c r="AF29" s="18">
        <v>-0.27744402388589068</v>
      </c>
      <c r="AG29" s="18">
        <v>0.79316056766485654</v>
      </c>
      <c r="AH29" s="18">
        <v>-0.22285160384972916</v>
      </c>
      <c r="AI29" s="18">
        <v>-5.5849914678855195E-2</v>
      </c>
      <c r="AJ29" s="19">
        <v>-0.24196165065958125</v>
      </c>
      <c r="AK29" s="3"/>
      <c r="AL29" s="8" t="s">
        <v>7</v>
      </c>
      <c r="AM29" s="29">
        <v>208.64111299999999</v>
      </c>
      <c r="AN29" s="29">
        <v>116.621056</v>
      </c>
      <c r="AO29" s="29">
        <v>3099.3999020000001</v>
      </c>
      <c r="AP29" s="29">
        <v>1736.380005</v>
      </c>
      <c r="AQ29" s="29">
        <v>489.60998499999999</v>
      </c>
      <c r="AR29" s="29">
        <v>1742.1899410000001</v>
      </c>
      <c r="AS29" s="29">
        <v>269.70001200000002</v>
      </c>
      <c r="AT29" s="29">
        <v>130.72467</v>
      </c>
      <c r="AU29" s="29">
        <v>227.009995</v>
      </c>
      <c r="AV29" s="29">
        <v>111.763367</v>
      </c>
      <c r="AW29" s="7"/>
      <c r="AY29" s="5"/>
      <c r="AZ29" s="28">
        <v>44193</v>
      </c>
      <c r="BA29" s="3">
        <f t="shared" si="33"/>
        <v>24</v>
      </c>
      <c r="BB29" s="3">
        <f t="shared" si="21"/>
        <v>1.0803537519932835</v>
      </c>
      <c r="BC29" s="3">
        <f t="shared" si="22"/>
        <v>1.06405657393229</v>
      </c>
      <c r="BD29" s="3">
        <f t="shared" si="23"/>
        <v>1.95185167143782</v>
      </c>
      <c r="BE29" s="3">
        <f t="shared" si="24"/>
        <v>1.3770623438595555</v>
      </c>
      <c r="BG29" s="3">
        <f t="shared" si="27"/>
        <v>-1.5720159862280345E-3</v>
      </c>
      <c r="BH29" s="3">
        <f t="shared" si="28"/>
        <v>-1.7791014378924816E-3</v>
      </c>
      <c r="BI29" s="3">
        <f t="shared" si="29"/>
        <v>-1.62167264346691E-3</v>
      </c>
      <c r="BJ29" s="3">
        <f t="shared" si="30"/>
        <v>-9.4614363620204546E-4</v>
      </c>
    </row>
    <row r="30" spans="1:70" ht="13.5" x14ac:dyDescent="0.2">
      <c r="A30" s="28">
        <v>44196</v>
      </c>
      <c r="B30" s="29">
        <v>220.57110599999999</v>
      </c>
      <c r="C30" s="29">
        <v>131.87699900000001</v>
      </c>
      <c r="D30" s="29">
        <v>3256.929932</v>
      </c>
      <c r="E30" s="29">
        <v>1752.6400149999999</v>
      </c>
      <c r="F30" s="29">
        <v>705.669983</v>
      </c>
      <c r="G30" s="29">
        <v>1751.880005</v>
      </c>
      <c r="H30" s="29">
        <v>273.16000400000001</v>
      </c>
      <c r="I30" s="29">
        <v>130.436081</v>
      </c>
      <c r="J30" s="29">
        <v>231.86999499999999</v>
      </c>
      <c r="K30" s="29">
        <v>123.95714599999999</v>
      </c>
      <c r="L30" s="26">
        <v>3756.07</v>
      </c>
      <c r="N30" s="3">
        <f t="shared" si="5"/>
        <v>-2.1495420232937004E-2</v>
      </c>
      <c r="O30" s="3">
        <f t="shared" si="6"/>
        <v>-2.5029803469369612E-2</v>
      </c>
      <c r="P30" s="3">
        <f t="shared" si="7"/>
        <v>-2.182111767692194E-2</v>
      </c>
      <c r="Q30" s="3">
        <f t="shared" si="8"/>
        <v>-1.5241319794303277E-2</v>
      </c>
      <c r="R30" s="3">
        <f t="shared" si="9"/>
        <v>3.3581761380092591E-2</v>
      </c>
      <c r="S30" s="3">
        <f t="shared" si="10"/>
        <v>-1.3585956031477964E-2</v>
      </c>
      <c r="T30" s="3">
        <f t="shared" si="11"/>
        <v>-1.5569404903994107E-2</v>
      </c>
      <c r="U30" s="3">
        <f t="shared" si="12"/>
        <v>4.4710201378337878E-3</v>
      </c>
      <c r="V30" s="3">
        <f t="shared" si="13"/>
        <v>-1.4859493345777667E-2</v>
      </c>
      <c r="W30" s="3">
        <f t="shared" si="14"/>
        <v>-9.4884107829360902E-3</v>
      </c>
      <c r="X30" s="3">
        <f t="shared" si="15"/>
        <v>-1.4864718123372964E-2</v>
      </c>
      <c r="Z30" s="6" t="s">
        <v>33</v>
      </c>
      <c r="AA30" s="20">
        <v>0.31862902532492482</v>
      </c>
      <c r="AB30" s="21">
        <v>-0.28643313854509034</v>
      </c>
      <c r="AC30" s="21">
        <v>-0.25305848653998653</v>
      </c>
      <c r="AD30" s="21">
        <v>-0.32741274017740529</v>
      </c>
      <c r="AE30" s="21">
        <v>0.66764438836106588</v>
      </c>
      <c r="AF30" s="21">
        <v>-3.9411300582419394E-2</v>
      </c>
      <c r="AG30" s="21">
        <v>-8.981327069479636E-2</v>
      </c>
      <c r="AH30" s="21">
        <v>0.38879944243694758</v>
      </c>
      <c r="AI30" s="21">
        <v>-4.2085415778580597E-3</v>
      </c>
      <c r="AJ30" s="22">
        <v>-0.19657690491332114</v>
      </c>
      <c r="AK30" s="3"/>
      <c r="AL30" s="8" t="s">
        <v>16</v>
      </c>
      <c r="AM30" s="3">
        <f>AM28/AM29</f>
        <v>1.1433203194374042E-3</v>
      </c>
      <c r="AN30" s="3">
        <f t="shared" ref="AN30:AV30" si="44">AN28/AN29</f>
        <v>2.5941377338840727E-3</v>
      </c>
      <c r="AO30" s="3">
        <f t="shared" si="44"/>
        <v>6.0696413563290733E-5</v>
      </c>
      <c r="AP30" s="3">
        <f t="shared" si="44"/>
        <v>8.1144984420631065E-5</v>
      </c>
      <c r="AQ30" s="3">
        <f t="shared" si="44"/>
        <v>9.1146127210817217E-4</v>
      </c>
      <c r="AR30" s="3">
        <f t="shared" si="44"/>
        <v>7.2549169478151645E-5</v>
      </c>
      <c r="AS30" s="3">
        <f t="shared" si="44"/>
        <v>4.0127428656902241E-5</v>
      </c>
      <c r="AT30" s="3">
        <f t="shared" si="44"/>
        <v>2.1429464912047355E-3</v>
      </c>
      <c r="AU30" s="30">
        <f t="shared" si="44"/>
        <v>-1.9998987258064066E-4</v>
      </c>
      <c r="AV30" s="3">
        <f t="shared" si="44"/>
        <v>2.1002519077089756E-4</v>
      </c>
      <c r="AW30" s="7"/>
      <c r="AY30" s="5"/>
      <c r="AZ30" s="28">
        <v>44194</v>
      </c>
      <c r="BA30" s="3">
        <f t="shared" si="33"/>
        <v>25</v>
      </c>
      <c r="BB30" s="3">
        <f t="shared" si="21"/>
        <v>1.0786567528287498</v>
      </c>
      <c r="BC30" s="3">
        <f t="shared" si="22"/>
        <v>1.0621651923303557</v>
      </c>
      <c r="BD30" s="3">
        <f t="shared" si="23"/>
        <v>1.9486889721027512</v>
      </c>
      <c r="BE30" s="3">
        <f t="shared" si="24"/>
        <v>1.375760061256607</v>
      </c>
      <c r="BG30" s="3">
        <f t="shared" si="27"/>
        <v>2.6587261092409512E-4</v>
      </c>
      <c r="BH30" s="3">
        <f t="shared" si="28"/>
        <v>-3.4365772729064571E-3</v>
      </c>
      <c r="BI30" s="3">
        <f t="shared" si="29"/>
        <v>9.8743391029130281E-3</v>
      </c>
      <c r="BJ30" s="3">
        <f t="shared" si="30"/>
        <v>2.2137115859237874E-2</v>
      </c>
    </row>
    <row r="31" spans="1:70" ht="13.5" x14ac:dyDescent="0.2">
      <c r="A31" s="28">
        <v>44200</v>
      </c>
      <c r="B31" s="29">
        <v>215.88043200000001</v>
      </c>
      <c r="C31" s="29">
        <v>128.61711099999999</v>
      </c>
      <c r="D31" s="29">
        <v>3186.6298830000001</v>
      </c>
      <c r="E31" s="29">
        <v>1726.130005</v>
      </c>
      <c r="F31" s="29">
        <v>729.77002000000005</v>
      </c>
      <c r="G31" s="29">
        <v>1728.23999</v>
      </c>
      <c r="H31" s="29">
        <v>268.94000199999999</v>
      </c>
      <c r="I31" s="29">
        <v>131.02056899999999</v>
      </c>
      <c r="J31" s="29">
        <v>228.449997</v>
      </c>
      <c r="K31" s="29">
        <v>122.786552</v>
      </c>
      <c r="L31" s="26">
        <v>3700.65</v>
      </c>
      <c r="N31" s="3">
        <f t="shared" si="5"/>
        <v>9.6412921965214899E-4</v>
      </c>
      <c r="O31" s="3">
        <f t="shared" si="6"/>
        <v>1.2287867730600551E-2</v>
      </c>
      <c r="P31" s="3">
        <f t="shared" si="7"/>
        <v>9.9546273132266692E-3</v>
      </c>
      <c r="Q31" s="3">
        <f t="shared" si="8"/>
        <v>8.031965228437592E-3</v>
      </c>
      <c r="R31" s="3">
        <f t="shared" si="9"/>
        <v>7.2906840630772071E-3</v>
      </c>
      <c r="S31" s="3">
        <f t="shared" si="10"/>
        <v>7.3101905608310685E-3</v>
      </c>
      <c r="T31" s="3">
        <f t="shared" si="11"/>
        <v>7.5198035029888062E-3</v>
      </c>
      <c r="U31" s="3">
        <f t="shared" si="12"/>
        <v>2.1966764675000593E-2</v>
      </c>
      <c r="V31" s="3">
        <f t="shared" si="13"/>
        <v>-4.2989889173495367E-3</v>
      </c>
      <c r="W31" s="3">
        <f t="shared" si="14"/>
        <v>5.4265782412627785E-3</v>
      </c>
      <c r="X31" s="3">
        <f t="shared" si="15"/>
        <v>7.0575761707220575E-3</v>
      </c>
      <c r="Z31" s="6" t="s">
        <v>34</v>
      </c>
      <c r="AA31" s="20">
        <v>0.26620673935199707</v>
      </c>
      <c r="AB31" s="21">
        <v>-0.11003817714763255</v>
      </c>
      <c r="AC31" s="21">
        <v>-0.63936509429004829</v>
      </c>
      <c r="AD31" s="21">
        <v>0.69807565121825566</v>
      </c>
      <c r="AE31" s="21">
        <v>-3.729725642767321E-2</v>
      </c>
      <c r="AF31" s="21">
        <v>-0.11379100898567576</v>
      </c>
      <c r="AG31" s="21">
        <v>5.3896457843909942E-3</v>
      </c>
      <c r="AH31" s="21">
        <v>-4.5087218185471678E-2</v>
      </c>
      <c r="AI31" s="21">
        <v>3.7437183020626583E-2</v>
      </c>
      <c r="AJ31" s="22">
        <v>5.5904432850847438E-2</v>
      </c>
      <c r="AK31" s="3"/>
      <c r="AL31" s="8"/>
      <c r="AW31" s="3"/>
      <c r="AY31" s="5"/>
      <c r="AZ31" s="28">
        <v>44195</v>
      </c>
      <c r="BA31" s="3">
        <f t="shared" si="33"/>
        <v>26</v>
      </c>
      <c r="BB31" s="3">
        <f t="shared" si="21"/>
        <v>1.0789435762434707</v>
      </c>
      <c r="BC31" s="3">
        <f t="shared" si="22"/>
        <v>1.0585212445107217</v>
      </c>
      <c r="BD31" s="3">
        <f t="shared" si="23"/>
        <v>1.968026302377943</v>
      </c>
      <c r="BE31" s="3">
        <f t="shared" si="24"/>
        <v>1.4065550193207288</v>
      </c>
      <c r="BG31" s="3">
        <f t="shared" si="27"/>
        <v>4.3223017539919476E-3</v>
      </c>
      <c r="BH31" s="3">
        <f t="shared" si="28"/>
        <v>4.3235779249793755E-3</v>
      </c>
      <c r="BI31" s="3">
        <f t="shared" si="29"/>
        <v>3.34580504864836E-3</v>
      </c>
      <c r="BJ31" s="3">
        <f t="shared" si="30"/>
        <v>2.8973841909135825E-3</v>
      </c>
    </row>
    <row r="32" spans="1:70" ht="13.5" x14ac:dyDescent="0.2">
      <c r="A32" s="28">
        <v>44201</v>
      </c>
      <c r="B32" s="29">
        <v>216.08866900000001</v>
      </c>
      <c r="C32" s="29">
        <v>130.207291</v>
      </c>
      <c r="D32" s="29">
        <v>3218.51001</v>
      </c>
      <c r="E32" s="29">
        <v>1740.0500489999999</v>
      </c>
      <c r="F32" s="29">
        <v>735.10998500000005</v>
      </c>
      <c r="G32" s="29">
        <v>1740.920044</v>
      </c>
      <c r="H32" s="29">
        <v>270.97000100000002</v>
      </c>
      <c r="I32" s="29">
        <v>133.930511</v>
      </c>
      <c r="J32" s="29">
        <v>227.470001</v>
      </c>
      <c r="K32" s="29">
        <v>123.454674</v>
      </c>
      <c r="L32" s="26">
        <v>3726.86</v>
      </c>
      <c r="N32" s="3">
        <f t="shared" si="5"/>
        <v>-2.6271391060772246E-2</v>
      </c>
      <c r="O32" s="3">
        <f t="shared" si="6"/>
        <v>-3.4241030668573806E-2</v>
      </c>
      <c r="P32" s="3">
        <f t="shared" si="7"/>
        <v>-2.5211816711629063E-2</v>
      </c>
      <c r="Q32" s="3">
        <f t="shared" si="8"/>
        <v>-9.9165645496918867E-3</v>
      </c>
      <c r="R32" s="3">
        <f t="shared" si="9"/>
        <v>2.7994766873658372E-2</v>
      </c>
      <c r="S32" s="3">
        <f t="shared" si="10"/>
        <v>-3.2391655211655964E-3</v>
      </c>
      <c r="T32" s="3">
        <f t="shared" si="11"/>
        <v>-2.8676079658789322E-2</v>
      </c>
      <c r="U32" s="3">
        <f t="shared" si="12"/>
        <v>-6.076207940608741E-2</v>
      </c>
      <c r="V32" s="3">
        <f t="shared" si="13"/>
        <v>1.2234184880485747E-2</v>
      </c>
      <c r="W32" s="3">
        <f t="shared" si="14"/>
        <v>4.588671528629646E-2</v>
      </c>
      <c r="X32" s="3">
        <f t="shared" si="15"/>
        <v>5.6936608662176199E-3</v>
      </c>
      <c r="Z32" s="6" t="s">
        <v>35</v>
      </c>
      <c r="AA32" s="20">
        <v>0.36128586586024669</v>
      </c>
      <c r="AB32" s="21">
        <v>7.9488808952206003E-2</v>
      </c>
      <c r="AC32" s="21">
        <v>7.1124722813182786E-2</v>
      </c>
      <c r="AD32" s="21">
        <v>-0.16916011293326505</v>
      </c>
      <c r="AE32" s="21">
        <v>-1.4491988588083989E-2</v>
      </c>
      <c r="AF32" s="21">
        <v>-0.28019902699655297</v>
      </c>
      <c r="AG32" s="21">
        <v>-0.33906167126174963</v>
      </c>
      <c r="AH32" s="21">
        <v>-0.39052540494852611</v>
      </c>
      <c r="AI32" s="21">
        <v>0.69432741882698878</v>
      </c>
      <c r="AJ32" s="22">
        <v>3.4571614817689271E-2</v>
      </c>
      <c r="AK32" s="3"/>
      <c r="AL32" s="15" t="s">
        <v>30</v>
      </c>
      <c r="AM32" s="16"/>
      <c r="AN32" s="16"/>
      <c r="AO32" s="16"/>
      <c r="AP32" s="16"/>
      <c r="AQ32" s="16"/>
      <c r="AR32" s="16"/>
      <c r="AS32" s="16"/>
      <c r="AT32" s="16"/>
      <c r="AU32" s="16"/>
      <c r="AV32" s="16"/>
      <c r="AW32" s="16"/>
      <c r="AX32" s="16"/>
      <c r="AY32" s="5"/>
      <c r="AZ32" s="28">
        <v>44196</v>
      </c>
      <c r="BA32" s="3">
        <f t="shared" si="33"/>
        <v>27</v>
      </c>
      <c r="BB32" s="3">
        <f t="shared" si="21"/>
        <v>1.0836171890618194</v>
      </c>
      <c r="BC32" s="3">
        <f t="shared" si="22"/>
        <v>1.0631077515120682</v>
      </c>
      <c r="BD32" s="3">
        <f t="shared" si="23"/>
        <v>1.974621962459836</v>
      </c>
      <c r="BE32" s="3">
        <f t="shared" si="24"/>
        <v>1.4106362592022037</v>
      </c>
      <c r="BG32" s="3">
        <f t="shared" si="27"/>
        <v>-8.288594679451762E-3</v>
      </c>
      <c r="BH32" s="3">
        <f t="shared" si="28"/>
        <v>-1.2661486423152932E-2</v>
      </c>
      <c r="BI32" s="3">
        <f t="shared" si="29"/>
        <v>7.7697585927759369E-4</v>
      </c>
      <c r="BJ32" s="3">
        <f t="shared" si="30"/>
        <v>1.2174308124216387E-2</v>
      </c>
    </row>
    <row r="33" spans="1:62" ht="13.5" x14ac:dyDescent="0.2">
      <c r="A33" s="28">
        <v>44202</v>
      </c>
      <c r="B33" s="29">
        <v>210.48564099999999</v>
      </c>
      <c r="C33" s="29">
        <v>125.824326</v>
      </c>
      <c r="D33" s="29">
        <v>3138.3798830000001</v>
      </c>
      <c r="E33" s="29">
        <v>1722.880005</v>
      </c>
      <c r="F33" s="29">
        <v>755.97997999999995</v>
      </c>
      <c r="G33" s="29">
        <v>1735.290039</v>
      </c>
      <c r="H33" s="29">
        <v>263.30999800000001</v>
      </c>
      <c r="I33" s="29">
        <v>126.03492</v>
      </c>
      <c r="J33" s="29">
        <v>230.270004</v>
      </c>
      <c r="K33" s="29">
        <v>129.251587</v>
      </c>
      <c r="L33" s="26">
        <v>3748.14</v>
      </c>
      <c r="N33" s="3">
        <f t="shared" si="5"/>
        <v>2.8059630543789495E-2</v>
      </c>
      <c r="O33" s="3">
        <f t="shared" si="6"/>
        <v>3.3553951425417915E-2</v>
      </c>
      <c r="P33" s="3">
        <f t="shared" si="7"/>
        <v>7.5486046249896499E-3</v>
      </c>
      <c r="Q33" s="3">
        <f t="shared" si="8"/>
        <v>2.9431191576947478E-2</v>
      </c>
      <c r="R33" s="3">
        <f t="shared" si="9"/>
        <v>7.6448452063654401E-2</v>
      </c>
      <c r="S33" s="3">
        <f t="shared" si="10"/>
        <v>2.9503556784807889E-2</v>
      </c>
      <c r="T33" s="3">
        <f t="shared" si="11"/>
        <v>2.0412294560049889E-2</v>
      </c>
      <c r="U33" s="3">
        <f t="shared" si="12"/>
        <v>5.6219846834510583E-2</v>
      </c>
      <c r="V33" s="3">
        <f t="shared" si="13"/>
        <v>1.1270770067212383E-2</v>
      </c>
      <c r="W33" s="3">
        <f t="shared" si="14"/>
        <v>3.2311427142163084E-2</v>
      </c>
      <c r="X33" s="3">
        <f t="shared" si="15"/>
        <v>1.4738221178340893E-2</v>
      </c>
      <c r="Z33" s="6" t="s">
        <v>36</v>
      </c>
      <c r="AA33" s="20">
        <v>0.17789261597570763</v>
      </c>
      <c r="AB33" s="21">
        <v>-0.71462846355421861</v>
      </c>
      <c r="AC33" s="21">
        <v>0.36297254967562825</v>
      </c>
      <c r="AD33" s="21">
        <v>0.19758859554884842</v>
      </c>
      <c r="AE33" s="21">
        <v>6.1817831042965267E-2</v>
      </c>
      <c r="AF33" s="21">
        <v>0.42945454172532999</v>
      </c>
      <c r="AG33" s="21">
        <v>-5.7166465304844122E-2</v>
      </c>
      <c r="AH33" s="21">
        <v>-0.27530269159003701</v>
      </c>
      <c r="AI33" s="21">
        <v>-1.4880226845180854E-2</v>
      </c>
      <c r="AJ33" s="22">
        <v>0.13905540551866513</v>
      </c>
      <c r="AK33" s="3"/>
      <c r="AL33" s="15" t="s">
        <v>18</v>
      </c>
      <c r="AM33" s="16"/>
      <c r="AN33" s="16"/>
      <c r="AO33" s="16"/>
      <c r="AP33" s="16"/>
      <c r="AQ33" s="16"/>
      <c r="AR33" s="16"/>
      <c r="AS33" s="16"/>
      <c r="AT33" s="16"/>
      <c r="AU33" s="16"/>
      <c r="AV33" s="16"/>
      <c r="AW33" s="16"/>
      <c r="AX33" s="16"/>
      <c r="AY33" s="5"/>
      <c r="AZ33" s="28">
        <v>44200</v>
      </c>
      <c r="BA33" s="3">
        <f t="shared" si="33"/>
        <v>28</v>
      </c>
      <c r="BB33" s="3">
        <f t="shared" si="21"/>
        <v>1.0746726454503444</v>
      </c>
      <c r="BC33" s="3">
        <f t="shared" si="22"/>
        <v>1.0497320837586865</v>
      </c>
      <c r="BD33" s="3">
        <f t="shared" si="23"/>
        <v>1.9761567922414973</v>
      </c>
      <c r="BE33" s="3">
        <f t="shared" si="24"/>
        <v>1.427914743057523</v>
      </c>
      <c r="BG33" s="3">
        <f t="shared" si="27"/>
        <v>7.6538026945882119E-3</v>
      </c>
      <c r="BH33" s="3">
        <f t="shared" si="28"/>
        <v>6.2227563465046343E-3</v>
      </c>
      <c r="BI33" s="3">
        <f t="shared" si="29"/>
        <v>1.0003903644344782E-2</v>
      </c>
      <c r="BJ33" s="3">
        <f t="shared" si="30"/>
        <v>1.2227570154088862E-2</v>
      </c>
    </row>
    <row r="34" spans="1:62" ht="13.5" x14ac:dyDescent="0.2">
      <c r="A34" s="28">
        <v>44203</v>
      </c>
      <c r="B34" s="29">
        <v>216.47543300000001</v>
      </c>
      <c r="C34" s="29">
        <v>130.11785900000001</v>
      </c>
      <c r="D34" s="29">
        <v>3162.1599120000001</v>
      </c>
      <c r="E34" s="29">
        <v>1774.339966</v>
      </c>
      <c r="F34" s="29">
        <v>816.03997800000002</v>
      </c>
      <c r="G34" s="29">
        <v>1787.25</v>
      </c>
      <c r="H34" s="29">
        <v>268.73998999999998</v>
      </c>
      <c r="I34" s="29">
        <v>133.32354699999999</v>
      </c>
      <c r="J34" s="29">
        <v>232.88000500000001</v>
      </c>
      <c r="K34" s="29">
        <v>133.496094</v>
      </c>
      <c r="L34" s="26">
        <v>3803.79</v>
      </c>
      <c r="N34" s="3">
        <f t="shared" si="5"/>
        <v>6.0743069732591111E-3</v>
      </c>
      <c r="O34" s="3">
        <f t="shared" si="6"/>
        <v>8.5940783184551336E-3</v>
      </c>
      <c r="P34" s="3">
        <f t="shared" si="7"/>
        <v>6.474567191930204E-3</v>
      </c>
      <c r="Q34" s="3">
        <f t="shared" si="8"/>
        <v>1.3151853972822912E-2</v>
      </c>
      <c r="R34" s="3">
        <f t="shared" si="9"/>
        <v>7.5481310802409649E-2</v>
      </c>
      <c r="S34" s="3">
        <f t="shared" si="10"/>
        <v>1.1106072333165018E-2</v>
      </c>
      <c r="T34" s="3">
        <f t="shared" si="11"/>
        <v>-4.363091728972414E-3</v>
      </c>
      <c r="U34" s="3">
        <f t="shared" si="12"/>
        <v>-5.0523992995049729E-3</v>
      </c>
      <c r="V34" s="3">
        <f t="shared" si="13"/>
        <v>4.9259870877221843E-3</v>
      </c>
      <c r="W34" s="3">
        <f t="shared" si="14"/>
        <v>1.1035430282892785E-3</v>
      </c>
      <c r="X34" s="3">
        <f t="shared" si="15"/>
        <v>5.4768655361056894E-3</v>
      </c>
      <c r="Z34" s="6" t="s">
        <v>37</v>
      </c>
      <c r="AA34" s="20">
        <v>0.36165188990759928</v>
      </c>
      <c r="AB34" s="21">
        <v>0.10886302332211936</v>
      </c>
      <c r="AC34" s="21">
        <v>4.0838412763622288E-2</v>
      </c>
      <c r="AD34" s="21">
        <v>-0.10601816413827098</v>
      </c>
      <c r="AE34" s="21">
        <v>-3.8610941334725826E-2</v>
      </c>
      <c r="AF34" s="21">
        <v>-0.24384796808007198</v>
      </c>
      <c r="AG34" s="21">
        <v>-0.40252398889704688</v>
      </c>
      <c r="AH34" s="21">
        <v>-0.33328485529979152</v>
      </c>
      <c r="AI34" s="21">
        <v>-0.71435618930423539</v>
      </c>
      <c r="AJ34" s="22">
        <v>9.3470669482381887E-3</v>
      </c>
      <c r="AK34" s="3"/>
      <c r="AL34" s="15" t="s">
        <v>10</v>
      </c>
      <c r="AM34" s="16" t="s">
        <v>32</v>
      </c>
      <c r="AN34" s="16" t="s">
        <v>33</v>
      </c>
      <c r="AO34" s="16" t="s">
        <v>34</v>
      </c>
      <c r="AP34" s="16" t="s">
        <v>35</v>
      </c>
      <c r="AQ34" s="16" t="s">
        <v>36</v>
      </c>
      <c r="AR34" s="16" t="s">
        <v>37</v>
      </c>
      <c r="AS34" s="16" t="s">
        <v>38</v>
      </c>
      <c r="AT34" s="16" t="s">
        <v>39</v>
      </c>
      <c r="AU34" s="16" t="s">
        <v>40</v>
      </c>
      <c r="AV34" s="16" t="s">
        <v>41</v>
      </c>
      <c r="AW34" s="16" t="s">
        <v>10</v>
      </c>
      <c r="AX34" s="16" t="s">
        <v>19</v>
      </c>
      <c r="AY34" s="5"/>
      <c r="AZ34" s="28">
        <v>44201</v>
      </c>
      <c r="BA34" s="3">
        <f t="shared" si="33"/>
        <v>29</v>
      </c>
      <c r="BB34" s="3">
        <f t="shared" si="21"/>
        <v>1.0829295358370117</v>
      </c>
      <c r="BC34" s="3">
        <f t="shared" si="22"/>
        <v>1.0562846771967331</v>
      </c>
      <c r="BD34" s="3">
        <f t="shared" si="23"/>
        <v>1.9960252899456647</v>
      </c>
      <c r="BE34" s="3">
        <f t="shared" si="24"/>
        <v>1.445481853413364</v>
      </c>
      <c r="BG34" s="3">
        <f t="shared" si="27"/>
        <v>-7.9157902369653092E-3</v>
      </c>
      <c r="BH34" s="3">
        <f t="shared" si="28"/>
        <v>-7.030120010175861E-3</v>
      </c>
      <c r="BI34" s="3">
        <f t="shared" si="29"/>
        <v>-1.1077464891767114E-2</v>
      </c>
      <c r="BJ34" s="3">
        <f t="shared" si="30"/>
        <v>-1.1200141672506433E-2</v>
      </c>
    </row>
    <row r="35" spans="1:62" ht="13.5" x14ac:dyDescent="0.2">
      <c r="A35" s="28">
        <v>44204</v>
      </c>
      <c r="B35" s="29">
        <v>217.79437300000001</v>
      </c>
      <c r="C35" s="29">
        <v>131.24092099999999</v>
      </c>
      <c r="D35" s="29">
        <v>3182.6999510000001</v>
      </c>
      <c r="E35" s="29">
        <v>1797.829956</v>
      </c>
      <c r="F35" s="29">
        <v>880.02002000000005</v>
      </c>
      <c r="G35" s="29">
        <v>1807.209961</v>
      </c>
      <c r="H35" s="29">
        <v>267.57000699999998</v>
      </c>
      <c r="I35" s="29">
        <v>132.65164200000001</v>
      </c>
      <c r="J35" s="29">
        <v>234.029999</v>
      </c>
      <c r="K35" s="29">
        <v>133.643494</v>
      </c>
      <c r="L35" s="26">
        <v>3824.68</v>
      </c>
      <c r="N35" s="3">
        <f t="shared" si="5"/>
        <v>-9.7458194855782592E-3</v>
      </c>
      <c r="O35" s="3">
        <f t="shared" si="6"/>
        <v>-2.3523192260351551E-2</v>
      </c>
      <c r="P35" s="3">
        <f t="shared" si="7"/>
        <v>-2.1754381761120635E-2</v>
      </c>
      <c r="Q35" s="3">
        <f t="shared" si="8"/>
        <v>-2.3376705758783894E-2</v>
      </c>
      <c r="R35" s="3">
        <f t="shared" si="9"/>
        <v>-8.1442349403199235E-2</v>
      </c>
      <c r="S35" s="3">
        <f t="shared" si="10"/>
        <v>-2.2659494299045325E-2</v>
      </c>
      <c r="T35" s="3">
        <f t="shared" si="11"/>
        <v>-4.0927933155654253E-2</v>
      </c>
      <c r="U35" s="3">
        <f t="shared" si="12"/>
        <v>2.5635015332216314E-2</v>
      </c>
      <c r="V35" s="3">
        <f t="shared" si="13"/>
        <v>-2.5670916860035973E-3</v>
      </c>
      <c r="W35" s="3">
        <f t="shared" si="14"/>
        <v>1.481392818317075E-2</v>
      </c>
      <c r="X35" s="3">
        <f t="shared" si="15"/>
        <v>-6.5763737616643747E-3</v>
      </c>
      <c r="Z35" s="6" t="s">
        <v>38</v>
      </c>
      <c r="AA35" s="20">
        <v>0.32079922042403514</v>
      </c>
      <c r="AB35" s="21">
        <v>0.29915448444344372</v>
      </c>
      <c r="AC35" s="21">
        <v>-0.29998879719820359</v>
      </c>
      <c r="AD35" s="21">
        <v>-0.30823248553773563</v>
      </c>
      <c r="AE35" s="21">
        <v>-2.3743018056069431E-2</v>
      </c>
      <c r="AF35" s="21">
        <v>0.56035250885573007</v>
      </c>
      <c r="AG35" s="21">
        <v>0.18875432382369153</v>
      </c>
      <c r="AH35" s="21">
        <v>-9.6980559270067074E-2</v>
      </c>
      <c r="AI35" s="21">
        <v>-7.8048225489682193E-3</v>
      </c>
      <c r="AJ35" s="22">
        <v>0.51277763898857387</v>
      </c>
      <c r="AK35" s="3"/>
      <c r="AL35" s="3">
        <v>1</v>
      </c>
      <c r="AM35" s="3">
        <v>0.35905946976366493</v>
      </c>
      <c r="AN35" s="3">
        <v>0.31862902532492482</v>
      </c>
      <c r="AO35" s="3">
        <v>0.26620673935199707</v>
      </c>
      <c r="AP35" s="3">
        <v>0.36128586586024669</v>
      </c>
      <c r="AQ35" s="3">
        <v>0.17789261597570763</v>
      </c>
      <c r="AR35" s="3">
        <v>0.36165188990759928</v>
      </c>
      <c r="AS35" s="3">
        <v>0.32079922042403514</v>
      </c>
      <c r="AT35" s="3">
        <v>0.34108061946308899</v>
      </c>
      <c r="AU35" s="3">
        <v>0.31188113842510201</v>
      </c>
      <c r="AV35" s="3">
        <v>0.29866786042519555</v>
      </c>
      <c r="AW35" s="6">
        <f>AA26</f>
        <v>7.4379385829629037</v>
      </c>
      <c r="AX35" s="3">
        <f>1/SQRT(AW35)</f>
        <v>0.3666685879054033</v>
      </c>
      <c r="AY35" s="5"/>
      <c r="AZ35" s="28">
        <v>44202</v>
      </c>
      <c r="BA35" s="3">
        <f t="shared" si="33"/>
        <v>30</v>
      </c>
      <c r="BB35" s="3">
        <f t="shared" si="21"/>
        <v>1.0743911314832892</v>
      </c>
      <c r="BC35" s="3">
        <f t="shared" si="22"/>
        <v>1.0488849102522411</v>
      </c>
      <c r="BD35" s="3">
        <f t="shared" si="23"/>
        <v>1.9740364052768051</v>
      </c>
      <c r="BE35" s="3">
        <f t="shared" si="24"/>
        <v>1.429382577252019</v>
      </c>
      <c r="BG35" s="3">
        <f t="shared" si="27"/>
        <v>3.4819876014226994E-2</v>
      </c>
      <c r="BH35" s="3">
        <f t="shared" si="28"/>
        <v>2.9005027566182572E-2</v>
      </c>
      <c r="BI35" s="3">
        <f t="shared" si="29"/>
        <v>4.860780416366757E-2</v>
      </c>
      <c r="BJ35" s="3">
        <f t="shared" si="30"/>
        <v>6.391997393113974E-2</v>
      </c>
    </row>
    <row r="36" spans="1:62" ht="13.5" x14ac:dyDescent="0.2">
      <c r="A36" s="28">
        <v>44207</v>
      </c>
      <c r="B36" s="29">
        <v>215.682098</v>
      </c>
      <c r="C36" s="29">
        <v>128.18974299999999</v>
      </c>
      <c r="D36" s="29">
        <v>3114.209961</v>
      </c>
      <c r="E36" s="29">
        <v>1756.290039</v>
      </c>
      <c r="F36" s="29">
        <v>811.19000200000005</v>
      </c>
      <c r="G36" s="29">
        <v>1766.719971</v>
      </c>
      <c r="H36" s="29">
        <v>256.83999599999999</v>
      </c>
      <c r="I36" s="29">
        <v>136.09612999999999</v>
      </c>
      <c r="J36" s="29">
        <v>233.429993</v>
      </c>
      <c r="K36" s="29">
        <v>135.63801599999999</v>
      </c>
      <c r="L36" s="26">
        <v>3799.61</v>
      </c>
      <c r="N36" s="3">
        <f t="shared" si="5"/>
        <v>-1.1840582862291119E-2</v>
      </c>
      <c r="O36" s="3">
        <f t="shared" si="6"/>
        <v>-1.3965153450859781E-3</v>
      </c>
      <c r="P36" s="3">
        <f t="shared" si="7"/>
        <v>2.1235210828762408E-3</v>
      </c>
      <c r="Q36" s="3">
        <f t="shared" si="8"/>
        <v>-1.0796610891325305E-2</v>
      </c>
      <c r="R36" s="3">
        <f t="shared" si="9"/>
        <v>4.6075003379578164E-2</v>
      </c>
      <c r="S36" s="3">
        <f t="shared" si="10"/>
        <v>-1.1482262102735308E-2</v>
      </c>
      <c r="T36" s="3">
        <f t="shared" si="11"/>
        <v>-2.2641882682987721E-2</v>
      </c>
      <c r="U36" s="3">
        <f t="shared" si="12"/>
        <v>-1.0089975139242452E-2</v>
      </c>
      <c r="V36" s="3">
        <f t="shared" si="13"/>
        <v>-1.7150199584174946E-3</v>
      </c>
      <c r="W36" s="3">
        <f t="shared" si="14"/>
        <v>1.5596634673032659E-2</v>
      </c>
      <c r="X36" s="3">
        <f t="shared" si="15"/>
        <v>4.1574571696605784E-4</v>
      </c>
      <c r="Z36" s="6" t="s">
        <v>39</v>
      </c>
      <c r="AA36" s="20">
        <v>0.34108061946308899</v>
      </c>
      <c r="AB36" s="21">
        <v>-0.21919132631770488</v>
      </c>
      <c r="AC36" s="21">
        <v>1.6119399169279177E-2</v>
      </c>
      <c r="AD36" s="21">
        <v>-0.14902673557528207</v>
      </c>
      <c r="AE36" s="21">
        <v>-0.68202262871654218</v>
      </c>
      <c r="AF36" s="21">
        <v>-4.4449888243995248E-3</v>
      </c>
      <c r="AG36" s="21">
        <v>-0.16667908616419075</v>
      </c>
      <c r="AH36" s="21">
        <v>0.56450984677017102</v>
      </c>
      <c r="AI36" s="21">
        <v>3.0927530925627715E-2</v>
      </c>
      <c r="AJ36" s="22">
        <v>-2.3789693287587517E-2</v>
      </c>
      <c r="AK36" s="3"/>
      <c r="AL36" s="3">
        <v>2</v>
      </c>
      <c r="AM36" s="3">
        <v>0.11802777816220618</v>
      </c>
      <c r="AN36" s="3">
        <v>0.28643313854509023</v>
      </c>
      <c r="AO36" s="3">
        <v>0.11003817714763245</v>
      </c>
      <c r="AP36" s="3">
        <v>-7.9488808952206128E-2</v>
      </c>
      <c r="AQ36" s="3">
        <v>0.71462846355421861</v>
      </c>
      <c r="AR36" s="3">
        <v>-0.10886302332211925</v>
      </c>
      <c r="AS36" s="3">
        <v>-0.29915448444344378</v>
      </c>
      <c r="AT36" s="3">
        <v>0.21919132631770485</v>
      </c>
      <c r="AU36" s="3">
        <v>-0.40268053837426576</v>
      </c>
      <c r="AV36" s="3">
        <v>-0.25172161547444988</v>
      </c>
      <c r="AW36" s="3">
        <f>AB26</f>
        <v>1.244606911089337</v>
      </c>
      <c r="AX36" s="3">
        <f>1/SQRT(AW36)</f>
        <v>0.89636294722621113</v>
      </c>
      <c r="AY36" s="5"/>
      <c r="AZ36" s="28">
        <v>44203</v>
      </c>
      <c r="BA36" s="3">
        <f t="shared" si="33"/>
        <v>31</v>
      </c>
      <c r="BB36" s="3">
        <f t="shared" si="21"/>
        <v>1.112460231904862</v>
      </c>
      <c r="BC36" s="3">
        <f t="shared" si="22"/>
        <v>1.0797533519052886</v>
      </c>
      <c r="BD36" s="3">
        <f t="shared" si="23"/>
        <v>2.0723602754484256</v>
      </c>
      <c r="BE36" s="3">
        <f t="shared" si="24"/>
        <v>1.5237319573727115</v>
      </c>
      <c r="BG36" s="3">
        <f t="shared" si="27"/>
        <v>1.5621365027127253E-2</v>
      </c>
      <c r="BH36" s="3">
        <f t="shared" si="28"/>
        <v>1.027879246272353E-2</v>
      </c>
      <c r="BI36" s="3">
        <f t="shared" si="29"/>
        <v>3.1188238003239107E-2</v>
      </c>
      <c r="BJ36" s="3">
        <f t="shared" si="30"/>
        <v>4.9398957837679849E-2</v>
      </c>
    </row>
    <row r="37" spans="1:62" ht="13.5" x14ac:dyDescent="0.2">
      <c r="A37" s="28">
        <v>44208</v>
      </c>
      <c r="B37" s="29">
        <v>213.14335600000001</v>
      </c>
      <c r="C37" s="29">
        <v>128.01084900000001</v>
      </c>
      <c r="D37" s="29">
        <v>3120.830078</v>
      </c>
      <c r="E37" s="29">
        <v>1737.4300539999999</v>
      </c>
      <c r="F37" s="29">
        <v>849.44000200000005</v>
      </c>
      <c r="G37" s="29">
        <v>1746.5500489999999</v>
      </c>
      <c r="H37" s="29">
        <v>251.08999600000001</v>
      </c>
      <c r="I37" s="29">
        <v>134.729828</v>
      </c>
      <c r="J37" s="29">
        <v>233.029999</v>
      </c>
      <c r="K37" s="29">
        <v>137.770096</v>
      </c>
      <c r="L37" s="26">
        <v>3801.19</v>
      </c>
      <c r="N37" s="3">
        <f t="shared" si="5"/>
        <v>6.5388778750802602E-3</v>
      </c>
      <c r="O37" s="3">
        <f t="shared" si="6"/>
        <v>1.6096341621936669E-2</v>
      </c>
      <c r="P37" s="3">
        <f t="shared" si="7"/>
        <v>1.433516582357911E-2</v>
      </c>
      <c r="Q37" s="3">
        <f t="shared" si="8"/>
        <v>5.6360824192611056E-3</v>
      </c>
      <c r="R37" s="3">
        <f t="shared" si="9"/>
        <v>5.8338294666798254E-3</v>
      </c>
      <c r="S37" s="3">
        <f t="shared" si="10"/>
        <v>4.4844902052232688E-3</v>
      </c>
      <c r="T37" s="3">
        <f t="shared" si="11"/>
        <v>2.1880660589362771E-3</v>
      </c>
      <c r="U37" s="3">
        <f t="shared" si="12"/>
        <v>3.47935232977621E-3</v>
      </c>
      <c r="V37" s="3">
        <f t="shared" si="13"/>
        <v>6.331013228342286E-3</v>
      </c>
      <c r="W37" s="3">
        <f t="shared" si="14"/>
        <v>9.2681078598458083E-4</v>
      </c>
      <c r="X37" s="3">
        <f t="shared" si="15"/>
        <v>2.2730179027713113E-3</v>
      </c>
      <c r="Z37" s="6" t="s">
        <v>40</v>
      </c>
      <c r="AA37" s="20">
        <v>0.31188113842510201</v>
      </c>
      <c r="AB37" s="21">
        <v>0.40268053837426582</v>
      </c>
      <c r="AC37" s="21">
        <v>0.20014024151429591</v>
      </c>
      <c r="AD37" s="21">
        <v>0.25759546964034791</v>
      </c>
      <c r="AE37" s="21">
        <v>3.8683499284290455E-2</v>
      </c>
      <c r="AF37" s="21">
        <v>0.46810564509087998</v>
      </c>
      <c r="AG37" s="21">
        <v>-6.3432344107892918E-2</v>
      </c>
      <c r="AH37" s="21">
        <v>3.2681161476733472E-2</v>
      </c>
      <c r="AI37" s="21">
        <v>4.2742450341198952E-2</v>
      </c>
      <c r="AJ37" s="22">
        <v>-0.63767472234529898</v>
      </c>
      <c r="AK37" s="3"/>
      <c r="AL37" s="3">
        <v>3</v>
      </c>
      <c r="AW37" s="3"/>
      <c r="AX37" s="3"/>
      <c r="AY37" s="5"/>
      <c r="AZ37" s="28">
        <v>44204</v>
      </c>
      <c r="BA37" s="3">
        <f t="shared" si="33"/>
        <v>32</v>
      </c>
      <c r="BB37" s="3">
        <f t="shared" si="21"/>
        <v>1.1299748240158791</v>
      </c>
      <c r="BC37" s="3">
        <f t="shared" si="22"/>
        <v>1.0909091483580591</v>
      </c>
      <c r="BD37" s="3">
        <f t="shared" si="23"/>
        <v>2.1380120001888527</v>
      </c>
      <c r="BE37" s="3">
        <f t="shared" si="24"/>
        <v>1.6008928720763576</v>
      </c>
      <c r="BG37" s="3">
        <f t="shared" si="27"/>
        <v>-2.1862819242344102E-2</v>
      </c>
      <c r="BH37" s="3">
        <f t="shared" si="28"/>
        <v>-1.6215863862219425E-2</v>
      </c>
      <c r="BI37" s="3">
        <f t="shared" si="29"/>
        <v>-3.62144752124159E-2</v>
      </c>
      <c r="BJ37" s="3">
        <f t="shared" si="30"/>
        <v>-5.3312848702473062E-2</v>
      </c>
    </row>
    <row r="38" spans="1:62" ht="13.5" x14ac:dyDescent="0.2">
      <c r="A38" s="28">
        <v>44209</v>
      </c>
      <c r="B38" s="29">
        <v>214.541641</v>
      </c>
      <c r="C38" s="29">
        <v>130.08802800000001</v>
      </c>
      <c r="D38" s="29">
        <v>3165.889893</v>
      </c>
      <c r="E38" s="29">
        <v>1747.25</v>
      </c>
      <c r="F38" s="29">
        <v>854.40997300000004</v>
      </c>
      <c r="G38" s="29">
        <v>1754.400024</v>
      </c>
      <c r="H38" s="29">
        <v>251.63999899999999</v>
      </c>
      <c r="I38" s="29">
        <v>135.19941700000001</v>
      </c>
      <c r="J38" s="29">
        <v>234.509995</v>
      </c>
      <c r="K38" s="29">
        <v>137.897842</v>
      </c>
      <c r="L38" s="26">
        <v>3809.84</v>
      </c>
      <c r="N38" s="3">
        <f t="shared" si="5"/>
        <v>-1.5465124660695844E-2</v>
      </c>
      <c r="O38" s="3">
        <f t="shared" si="6"/>
        <v>-1.5242645699810922E-2</v>
      </c>
      <c r="P38" s="3">
        <f t="shared" si="7"/>
        <v>-1.2209821186687533E-2</v>
      </c>
      <c r="Q38" s="3">
        <f t="shared" si="8"/>
        <v>-9.3900388890975593E-3</v>
      </c>
      <c r="R38" s="3">
        <f t="shared" si="9"/>
        <v>-1.1074513299359882E-2</v>
      </c>
      <c r="S38" s="3">
        <f t="shared" si="10"/>
        <v>-8.1383446182639648E-3</v>
      </c>
      <c r="T38" s="3">
        <f t="shared" si="11"/>
        <v>-2.4132445337697636E-2</v>
      </c>
      <c r="U38" s="3">
        <f t="shared" si="12"/>
        <v>-2.4802861561586849E-2</v>
      </c>
      <c r="V38" s="3">
        <f t="shared" si="13"/>
        <v>2.1724243463267707E-3</v>
      </c>
      <c r="W38" s="3">
        <f t="shared" si="14"/>
        <v>5.825468923039554E-3</v>
      </c>
      <c r="X38" s="3">
        <f t="shared" si="15"/>
        <v>-3.7605002910535887E-3</v>
      </c>
      <c r="Z38" s="6" t="s">
        <v>41</v>
      </c>
      <c r="AA38" s="23">
        <v>0.29866786042519555</v>
      </c>
      <c r="AB38" s="24">
        <v>0.25172161547444993</v>
      </c>
      <c r="AC38" s="24">
        <v>0.50406327169899579</v>
      </c>
      <c r="AD38" s="24">
        <v>0.34920858700260315</v>
      </c>
      <c r="AE38" s="24">
        <v>0.25645479595420179</v>
      </c>
      <c r="AF38" s="24">
        <v>-0.23017613369507403</v>
      </c>
      <c r="AG38" s="24">
        <v>0.12292552179853843</v>
      </c>
      <c r="AH38" s="24">
        <v>0.35862820023974701</v>
      </c>
      <c r="AI38" s="24">
        <v>6.6118613445837751E-4</v>
      </c>
      <c r="AJ38" s="25">
        <v>0.45709068724406243</v>
      </c>
      <c r="AK38" s="3"/>
      <c r="AL38" s="3">
        <v>4</v>
      </c>
      <c r="AW38" s="3"/>
      <c r="AX38" s="3"/>
      <c r="AY38" s="5"/>
      <c r="AZ38" s="28">
        <v>44207</v>
      </c>
      <c r="BA38" s="3">
        <f t="shared" si="33"/>
        <v>33</v>
      </c>
      <c r="BB38" s="3">
        <f t="shared" si="21"/>
        <v>1.1055384856524773</v>
      </c>
      <c r="BC38" s="3">
        <f t="shared" si="22"/>
        <v>1.0733617715702104</v>
      </c>
      <c r="BD38" s="3">
        <f t="shared" si="23"/>
        <v>2.0619702344002846</v>
      </c>
      <c r="BE38" s="3">
        <f t="shared" si="24"/>
        <v>1.5177798922490917</v>
      </c>
      <c r="BG38" s="3">
        <f t="shared" si="27"/>
        <v>2.6793855889875634E-3</v>
      </c>
      <c r="BH38" s="3">
        <f t="shared" si="28"/>
        <v>-8.355222232155166E-4</v>
      </c>
      <c r="BI38" s="3">
        <f t="shared" si="29"/>
        <v>1.2661672102922166E-2</v>
      </c>
      <c r="BJ38" s="3">
        <f t="shared" si="30"/>
        <v>2.5286894111705774E-2</v>
      </c>
    </row>
    <row r="39" spans="1:62" ht="13.5" x14ac:dyDescent="0.2">
      <c r="A39" s="28">
        <v>44210</v>
      </c>
      <c r="B39" s="29">
        <v>211.24925200000001</v>
      </c>
      <c r="C39" s="29">
        <v>128.12017800000001</v>
      </c>
      <c r="D39" s="29">
        <v>3127.469971</v>
      </c>
      <c r="E39" s="29">
        <v>1730.920044</v>
      </c>
      <c r="F39" s="29">
        <v>845</v>
      </c>
      <c r="G39" s="29">
        <v>1740.1800539999999</v>
      </c>
      <c r="H39" s="29">
        <v>245.63999899999999</v>
      </c>
      <c r="I39" s="29">
        <v>131.88732899999999</v>
      </c>
      <c r="J39" s="29">
        <v>235.020004</v>
      </c>
      <c r="K39" s="29">
        <v>138.703506</v>
      </c>
      <c r="L39" s="26">
        <v>3795.54</v>
      </c>
      <c r="N39" s="3">
        <f t="shared" si="5"/>
        <v>-1.7385247933301036E-3</v>
      </c>
      <c r="O39" s="3">
        <f t="shared" si="6"/>
        <v>-1.3825760952458622E-2</v>
      </c>
      <c r="P39" s="3">
        <f t="shared" si="7"/>
        <v>-7.4522213992980332E-3</v>
      </c>
      <c r="Q39" s="3">
        <f t="shared" si="8"/>
        <v>-1.9083485888816368E-3</v>
      </c>
      <c r="R39" s="3">
        <f t="shared" si="9"/>
        <v>-2.2548200675346557E-2</v>
      </c>
      <c r="S39" s="3">
        <f t="shared" si="10"/>
        <v>-2.295563911743956E-3</v>
      </c>
      <c r="T39" s="3">
        <f t="shared" si="11"/>
        <v>2.3019133095468481E-2</v>
      </c>
      <c r="U39" s="3">
        <f t="shared" si="12"/>
        <v>-2.6153040069322519E-2</v>
      </c>
      <c r="V39" s="3">
        <f t="shared" si="13"/>
        <v>-6.5313628720232789E-3</v>
      </c>
      <c r="W39" s="3">
        <f t="shared" si="14"/>
        <v>-1.8084175265538106E-2</v>
      </c>
      <c r="X39" s="3">
        <f t="shared" si="15"/>
        <v>-7.2159905065941393E-3</v>
      </c>
      <c r="AK39" s="3"/>
      <c r="AL39" s="8" t="s">
        <v>29</v>
      </c>
      <c r="AM39" s="3">
        <f>SUMPRODUCT(AM35:AM36*AX35:AX36)/AX40</f>
        <v>0.1880012883570629</v>
      </c>
      <c r="AN39" s="3">
        <f>SUMPRODUCT(AN35:AN36*AX35:AX36)/AX40</f>
        <v>0.29577987298010494</v>
      </c>
      <c r="AO39" s="3">
        <f>SUMPRODUCT(AO35:AO36*AX35:AX36)/AX40</f>
        <v>0.15537521314865718</v>
      </c>
      <c r="AP39" s="3">
        <f>SUMPRODUCT(AP35:AP36*AX35:AX36)/AX40</f>
        <v>4.8471755057863469E-2</v>
      </c>
      <c r="AQ39" s="3">
        <f>SUMPRODUCT(AQ35:AQ36*AX35:AX36)/AX40</f>
        <v>0.55880957080637095</v>
      </c>
      <c r="AR39" s="3">
        <f>SUMPRODUCT(AR35:AR36*AX35:AX36)/AX40</f>
        <v>2.7731379924032837E-2</v>
      </c>
      <c r="AS39" s="3">
        <f>SUMPRODUCT(AS35:AS36*AX35:AX36)/AX40</f>
        <v>-0.11917675371576722</v>
      </c>
      <c r="AT39" s="3">
        <f>SUMPRODUCT(AT35:AT36*AX35:AX36)/AX40</f>
        <v>0.25457680463337373</v>
      </c>
      <c r="AU39" s="3">
        <f>SUMPRODUCT(AU35:AU36*AX35:AX36)/AX40</f>
        <v>-0.19523732439620872</v>
      </c>
      <c r="AV39" s="3">
        <f>SUMPRODUCT(AV35:AV36*AX35:AX36)/AX40</f>
        <v>-9.1938960558325192E-2</v>
      </c>
      <c r="AW39" s="7"/>
      <c r="AX39" s="16" t="s">
        <v>5</v>
      </c>
      <c r="AY39" s="5"/>
      <c r="AZ39" s="28">
        <v>44208</v>
      </c>
      <c r="BA39" s="3">
        <f t="shared" si="33"/>
        <v>34</v>
      </c>
      <c r="BB39" s="3">
        <f t="shared" si="21"/>
        <v>1.1085046214752778</v>
      </c>
      <c r="BC39" s="3">
        <f t="shared" si="22"/>
        <v>1.0724653285077141</v>
      </c>
      <c r="BD39" s="3">
        <f t="shared" si="23"/>
        <v>2.0882442106152084</v>
      </c>
      <c r="BE39" s="3">
        <f t="shared" si="24"/>
        <v>1.5566492025847498</v>
      </c>
      <c r="BG39" s="3">
        <f t="shared" si="27"/>
        <v>6.5331718574421684E-3</v>
      </c>
      <c r="BH39" s="3">
        <f t="shared" si="28"/>
        <v>6.6713197116441466E-3</v>
      </c>
      <c r="BI39" s="3">
        <f t="shared" si="29"/>
        <v>7.8121899694769473E-3</v>
      </c>
      <c r="BJ39" s="3">
        <f t="shared" si="30"/>
        <v>9.0502968134923908E-3</v>
      </c>
    </row>
    <row r="40" spans="1:62" ht="13.5" x14ac:dyDescent="0.2">
      <c r="A40" s="28">
        <v>44211</v>
      </c>
      <c r="B40" s="29">
        <v>210.88230899999999</v>
      </c>
      <c r="C40" s="29">
        <v>126.361008</v>
      </c>
      <c r="D40" s="29">
        <v>3104.25</v>
      </c>
      <c r="E40" s="29">
        <v>1727.619995</v>
      </c>
      <c r="F40" s="29">
        <v>826.15997300000004</v>
      </c>
      <c r="G40" s="29">
        <v>1736.1899410000001</v>
      </c>
      <c r="H40" s="29">
        <v>251.36000100000001</v>
      </c>
      <c r="I40" s="29">
        <v>128.482788</v>
      </c>
      <c r="J40" s="29">
        <v>233.490005</v>
      </c>
      <c r="K40" s="29">
        <v>136.21771200000001</v>
      </c>
      <c r="L40" s="26">
        <v>3768.25</v>
      </c>
      <c r="N40" s="3">
        <f t="shared" si="5"/>
        <v>1.7665839827981245E-2</v>
      </c>
      <c r="O40" s="3">
        <f t="shared" si="6"/>
        <v>5.4124985646157491E-3</v>
      </c>
      <c r="P40" s="3">
        <f t="shared" si="7"/>
        <v>5.3044247913494446E-3</v>
      </c>
      <c r="Q40" s="3">
        <f t="shared" si="8"/>
        <v>3.2376700226544548E-2</v>
      </c>
      <c r="R40" s="3">
        <f t="shared" si="9"/>
        <v>2.2015500235776555E-2</v>
      </c>
      <c r="S40" s="3">
        <f t="shared" si="10"/>
        <v>3.1002919755078601E-2</v>
      </c>
      <c r="T40" s="3">
        <f t="shared" si="11"/>
        <v>3.8017320199115412E-2</v>
      </c>
      <c r="U40" s="3">
        <f t="shared" si="12"/>
        <v>1.2806930710839742E-2</v>
      </c>
      <c r="V40" s="3">
        <f t="shared" si="13"/>
        <v>4.5295265113172506E-3</v>
      </c>
      <c r="W40" s="3">
        <f t="shared" si="14"/>
        <v>-4.3373025274201071E-3</v>
      </c>
      <c r="X40" s="3">
        <f t="shared" si="15"/>
        <v>8.1034807715100084E-3</v>
      </c>
      <c r="Z40" s="4" t="s">
        <v>26</v>
      </c>
      <c r="AK40" s="3"/>
      <c r="AL40" s="8" t="s">
        <v>7</v>
      </c>
      <c r="AM40" s="29">
        <v>208.64111299999999</v>
      </c>
      <c r="AN40" s="29">
        <v>116.621056</v>
      </c>
      <c r="AO40" s="29">
        <v>3099.3999020000001</v>
      </c>
      <c r="AP40" s="29">
        <v>1736.380005</v>
      </c>
      <c r="AQ40" s="29">
        <v>489.60998499999999</v>
      </c>
      <c r="AR40" s="29">
        <v>1742.1899410000001</v>
      </c>
      <c r="AS40" s="29">
        <v>269.70001200000002</v>
      </c>
      <c r="AT40" s="29">
        <v>130.72467</v>
      </c>
      <c r="AU40" s="29">
        <v>227.009995</v>
      </c>
      <c r="AV40" s="29">
        <v>111.763367</v>
      </c>
      <c r="AW40" s="7"/>
      <c r="AX40" s="5">
        <f>SUM(AX35:AX36)</f>
        <v>1.2630315351316144</v>
      </c>
      <c r="AY40" s="5"/>
      <c r="AZ40" s="28">
        <v>44209</v>
      </c>
      <c r="BA40" s="3">
        <f t="shared" si="33"/>
        <v>35</v>
      </c>
      <c r="BB40" s="3">
        <f t="shared" si="21"/>
        <v>1.1157703810568753</v>
      </c>
      <c r="BC40" s="3">
        <f t="shared" si="22"/>
        <v>1.07964400659736</v>
      </c>
      <c r="BD40" s="3">
        <f t="shared" si="23"/>
        <v>2.1046218604527485</v>
      </c>
      <c r="BE40" s="3">
        <f t="shared" si="24"/>
        <v>1.5708012835722556</v>
      </c>
      <c r="BG40" s="3">
        <f t="shared" si="27"/>
        <v>-1.0809892862464048E-2</v>
      </c>
      <c r="BH40" s="3">
        <f t="shared" si="28"/>
        <v>-9.1532564067820354E-3</v>
      </c>
      <c r="BI40" s="3">
        <f t="shared" si="29"/>
        <v>-1.4070551239764544E-2</v>
      </c>
      <c r="BJ40" s="3">
        <f t="shared" si="30"/>
        <v>-1.6823889798023874E-2</v>
      </c>
    </row>
    <row r="41" spans="1:62" ht="13.5" x14ac:dyDescent="0.2">
      <c r="A41" s="28">
        <v>44215</v>
      </c>
      <c r="B41" s="29">
        <v>214.64082300000001</v>
      </c>
      <c r="C41" s="29">
        <v>127.046791</v>
      </c>
      <c r="D41" s="29">
        <v>3120.76001</v>
      </c>
      <c r="E41" s="29">
        <v>1784.469971</v>
      </c>
      <c r="F41" s="29">
        <v>844.54998799999998</v>
      </c>
      <c r="G41" s="29">
        <v>1790.8599850000001</v>
      </c>
      <c r="H41" s="29">
        <v>261.10000600000001</v>
      </c>
      <c r="I41" s="29">
        <v>130.13883999999999</v>
      </c>
      <c r="J41" s="29">
        <v>234.550003</v>
      </c>
      <c r="K41" s="29">
        <v>135.628174</v>
      </c>
      <c r="L41" s="26">
        <v>3798.91</v>
      </c>
      <c r="N41" s="3">
        <f t="shared" si="5"/>
        <v>3.584933807430634E-2</v>
      </c>
      <c r="O41" s="3">
        <f t="shared" si="6"/>
        <v>3.2327884521960622E-2</v>
      </c>
      <c r="P41" s="3">
        <f t="shared" si="7"/>
        <v>4.4686867119933138E-2</v>
      </c>
      <c r="Q41" s="3">
        <f t="shared" si="8"/>
        <v>5.2187545345239436E-2</v>
      </c>
      <c r="R41" s="3">
        <f t="shared" si="9"/>
        <v>6.9617083526738854E-3</v>
      </c>
      <c r="S41" s="3">
        <f t="shared" si="10"/>
        <v>5.2239340504303622E-2</v>
      </c>
      <c r="T41" s="3">
        <f t="shared" si="11"/>
        <v>2.4141339625562863E-2</v>
      </c>
      <c r="U41" s="3">
        <f t="shared" si="12"/>
        <v>2.5805640342672697E-2</v>
      </c>
      <c r="V41" s="3">
        <f t="shared" si="13"/>
        <v>8.9489682686960995E-4</v>
      </c>
      <c r="W41" s="3">
        <f t="shared" si="14"/>
        <v>-1.5109082143279743E-2</v>
      </c>
      <c r="X41" s="3">
        <f t="shared" si="15"/>
        <v>1.3839368887685784E-2</v>
      </c>
      <c r="Z41" s="6" t="s">
        <v>12</v>
      </c>
      <c r="AA41" s="6">
        <v>1</v>
      </c>
      <c r="AB41" s="6">
        <v>2</v>
      </c>
      <c r="AC41" s="6">
        <v>3</v>
      </c>
      <c r="AD41" s="6">
        <v>4</v>
      </c>
      <c r="AE41" s="6">
        <v>5</v>
      </c>
      <c r="AF41" s="6">
        <v>6</v>
      </c>
      <c r="AG41" s="6">
        <v>7</v>
      </c>
      <c r="AH41" s="6">
        <v>8</v>
      </c>
      <c r="AI41" s="6">
        <v>9</v>
      </c>
      <c r="AJ41" s="6">
        <v>10</v>
      </c>
      <c r="AK41" s="3"/>
      <c r="AL41" s="8" t="s">
        <v>16</v>
      </c>
      <c r="AM41" s="3">
        <f>AM39/AM40</f>
        <v>9.0107498782880299E-4</v>
      </c>
      <c r="AN41" s="3">
        <f t="shared" ref="AN41:AV41" si="45">AN39/AN40</f>
        <v>2.5362475964898221E-3</v>
      </c>
      <c r="AO41" s="3">
        <f t="shared" si="45"/>
        <v>5.0130740808372514E-5</v>
      </c>
      <c r="AP41" s="3">
        <f t="shared" si="45"/>
        <v>2.7915407294651191E-5</v>
      </c>
      <c r="AQ41" s="3">
        <f t="shared" si="45"/>
        <v>1.1413361408598947E-3</v>
      </c>
      <c r="AR41" s="3">
        <f t="shared" si="45"/>
        <v>1.5917541062207774E-5</v>
      </c>
      <c r="AS41" s="30">
        <f t="shared" si="45"/>
        <v>-4.4188634932566193E-4</v>
      </c>
      <c r="AT41" s="3">
        <f t="shared" si="45"/>
        <v>1.9474274032083899E-3</v>
      </c>
      <c r="AU41" s="30">
        <f t="shared" si="45"/>
        <v>-8.600384507131887E-4</v>
      </c>
      <c r="AV41" s="30">
        <f t="shared" si="45"/>
        <v>-8.2262160693785463E-4</v>
      </c>
      <c r="AW41" s="7"/>
      <c r="AX41" s="7"/>
      <c r="AY41" s="5"/>
      <c r="AZ41" s="28">
        <v>44210</v>
      </c>
      <c r="BA41" s="3">
        <f t="shared" si="33"/>
        <v>36</v>
      </c>
      <c r="BB41" s="3">
        <f t="shared" si="21"/>
        <v>1.1037739795048114</v>
      </c>
      <c r="BC41" s="3">
        <f t="shared" si="22"/>
        <v>1.0698068379219907</v>
      </c>
      <c r="BD41" s="3">
        <f t="shared" si="23"/>
        <v>2.0752160339656234</v>
      </c>
      <c r="BE41" s="3">
        <f t="shared" si="24"/>
        <v>1.5445953568094775</v>
      </c>
      <c r="BG41" s="3">
        <f t="shared" si="27"/>
        <v>-9.1762420259276813E-3</v>
      </c>
      <c r="BH41" s="3">
        <f t="shared" si="28"/>
        <v>-7.4926040313245965E-3</v>
      </c>
      <c r="BI41" s="3">
        <f t="shared" si="29"/>
        <v>-1.5248535036031012E-2</v>
      </c>
      <c r="BJ41" s="3">
        <f t="shared" si="30"/>
        <v>-2.1868793840357229E-2</v>
      </c>
    </row>
    <row r="42" spans="1:62" ht="13.5" x14ac:dyDescent="0.2">
      <c r="A42" s="28">
        <v>44216</v>
      </c>
      <c r="B42" s="29">
        <v>222.475143</v>
      </c>
      <c r="C42" s="29">
        <v>131.22105400000001</v>
      </c>
      <c r="D42" s="29">
        <v>3263.3798830000001</v>
      </c>
      <c r="E42" s="29">
        <v>1880.0699460000001</v>
      </c>
      <c r="F42" s="29">
        <v>850.45001200000002</v>
      </c>
      <c r="G42" s="29">
        <v>1886.900024</v>
      </c>
      <c r="H42" s="29">
        <v>267.48001099999999</v>
      </c>
      <c r="I42" s="29">
        <v>133.540863</v>
      </c>
      <c r="J42" s="29">
        <v>234.759995</v>
      </c>
      <c r="K42" s="29">
        <v>133.59435999999999</v>
      </c>
      <c r="L42" s="26">
        <v>3851.85</v>
      </c>
      <c r="N42" s="3">
        <f t="shared" si="5"/>
        <v>2.8042702150260115E-3</v>
      </c>
      <c r="O42" s="3">
        <f t="shared" si="6"/>
        <v>3.6002427296875805E-2</v>
      </c>
      <c r="P42" s="3">
        <f t="shared" si="7"/>
        <v>1.3274974856367926E-2</v>
      </c>
      <c r="Q42" s="3">
        <f t="shared" si="8"/>
        <v>2.1678220881679471E-3</v>
      </c>
      <c r="R42" s="3">
        <f t="shared" si="9"/>
        <v>-6.4408541371161121E-3</v>
      </c>
      <c r="S42" s="3">
        <f t="shared" si="10"/>
        <v>2.3027025896224626E-3</v>
      </c>
      <c r="T42" s="3">
        <f t="shared" si="11"/>
        <v>1.9950634659987473E-2</v>
      </c>
      <c r="U42" s="3">
        <f t="shared" si="12"/>
        <v>3.6852627661537803E-2</v>
      </c>
      <c r="V42" s="3">
        <f t="shared" si="13"/>
        <v>-2.5590349258192199E-3</v>
      </c>
      <c r="W42" s="3">
        <f t="shared" si="14"/>
        <v>-8.4195765580697482E-3</v>
      </c>
      <c r="X42" s="3">
        <f t="shared" si="15"/>
        <v>3.1668077285579088E-4</v>
      </c>
      <c r="Z42" s="6" t="s">
        <v>10</v>
      </c>
      <c r="AA42" s="6">
        <f>AA26</f>
        <v>7.4379385829629037</v>
      </c>
      <c r="AB42" s="6">
        <f t="shared" ref="AB42:AJ42" si="46">AB26</f>
        <v>1.244606911089337</v>
      </c>
      <c r="AC42" s="6">
        <f t="shared" si="46"/>
        <v>0.80230098587713883</v>
      </c>
      <c r="AD42" s="6">
        <f t="shared" si="46"/>
        <v>0.26438122167778982</v>
      </c>
      <c r="AE42" s="6">
        <f t="shared" si="46"/>
        <v>0.12935953706302797</v>
      </c>
      <c r="AF42" s="6">
        <f t="shared" si="46"/>
        <v>5.3377034784761024E-2</v>
      </c>
      <c r="AG42" s="6">
        <f t="shared" si="46"/>
        <v>8.8226317564163298E-3</v>
      </c>
      <c r="AH42" s="6">
        <f t="shared" si="46"/>
        <v>2.631462917589503E-2</v>
      </c>
      <c r="AI42" s="6">
        <f t="shared" si="46"/>
        <v>7.735232905708711E-4</v>
      </c>
      <c r="AJ42" s="6">
        <f t="shared" si="46"/>
        <v>3.2124942322157797E-2</v>
      </c>
      <c r="AK42" s="3"/>
      <c r="AL42" s="8"/>
      <c r="AW42" s="3"/>
      <c r="AX42" s="34" t="s">
        <v>48</v>
      </c>
      <c r="AY42" s="35"/>
      <c r="AZ42" s="28">
        <v>44211</v>
      </c>
      <c r="BA42" s="3">
        <f t="shared" si="33"/>
        <v>37</v>
      </c>
      <c r="BB42" s="3">
        <f t="shared" si="21"/>
        <v>1.0936918112808245</v>
      </c>
      <c r="BC42" s="3">
        <f t="shared" si="22"/>
        <v>1.0618211530418726</v>
      </c>
      <c r="BD42" s="3">
        <f t="shared" si="23"/>
        <v>2.0438120702807003</v>
      </c>
      <c r="BE42" s="3">
        <f t="shared" si="24"/>
        <v>1.5111835884924858</v>
      </c>
      <c r="BG42" s="3">
        <f t="shared" si="27"/>
        <v>1.6241259949505277E-2</v>
      </c>
      <c r="BH42" s="3">
        <f t="shared" si="28"/>
        <v>1.4721526501706573E-2</v>
      </c>
      <c r="BI42" s="3">
        <f t="shared" si="29"/>
        <v>1.7472019557537553E-2</v>
      </c>
      <c r="BJ42" s="3">
        <f t="shared" si="30"/>
        <v>1.8290391790884288E-2</v>
      </c>
    </row>
    <row r="43" spans="1:62" ht="13.5" x14ac:dyDescent="0.2">
      <c r="A43" s="28">
        <v>44217</v>
      </c>
      <c r="B43" s="29">
        <v>223.09989899999999</v>
      </c>
      <c r="C43" s="29">
        <v>136.03140300000001</v>
      </c>
      <c r="D43" s="29">
        <v>3306.98999</v>
      </c>
      <c r="E43" s="29">
        <v>1884.150024</v>
      </c>
      <c r="F43" s="29">
        <v>844.98999000000003</v>
      </c>
      <c r="G43" s="29">
        <v>1891.25</v>
      </c>
      <c r="H43" s="29">
        <v>272.86999500000002</v>
      </c>
      <c r="I43" s="29">
        <v>138.554001</v>
      </c>
      <c r="J43" s="29">
        <v>234.16000399999999</v>
      </c>
      <c r="K43" s="29">
        <v>132.47427400000001</v>
      </c>
      <c r="L43" s="26">
        <v>3853.07</v>
      </c>
      <c r="N43" s="3">
        <f t="shared" si="5"/>
        <v>4.3466509507785163E-3</v>
      </c>
      <c r="O43" s="3">
        <f t="shared" si="6"/>
        <v>1.5945849992784998E-2</v>
      </c>
      <c r="P43" s="3">
        <f t="shared" si="7"/>
        <v>-4.4732664404416997E-3</v>
      </c>
      <c r="Q43" s="3">
        <f t="shared" si="8"/>
        <v>4.4536375396455521E-3</v>
      </c>
      <c r="R43" s="3">
        <f t="shared" si="9"/>
        <v>1.9508113694008064E-3</v>
      </c>
      <c r="S43" s="3">
        <f t="shared" si="10"/>
        <v>5.1684047615464888E-3</v>
      </c>
      <c r="T43" s="3">
        <f t="shared" si="11"/>
        <v>5.9557879792509708E-3</v>
      </c>
      <c r="U43" s="3">
        <f t="shared" si="12"/>
        <v>-1.1240128599079212E-2</v>
      </c>
      <c r="V43" s="3">
        <f t="shared" si="13"/>
        <v>-5.3096210836871402E-3</v>
      </c>
      <c r="W43" s="3">
        <f t="shared" si="14"/>
        <v>-7.7433701045773531E-3</v>
      </c>
      <c r="X43" s="3">
        <f t="shared" si="15"/>
        <v>-3.0151272949282431E-3</v>
      </c>
      <c r="Z43" s="6" t="s">
        <v>32</v>
      </c>
      <c r="AA43" s="3">
        <f>VALUE(AA29)</f>
        <v>0.35905946976366493</v>
      </c>
      <c r="AB43" s="3">
        <f t="shared" ref="AB43:AJ43" si="47">VALUE(AB29)</f>
        <v>-0.11802777816220632</v>
      </c>
      <c r="AC43" s="3">
        <f t="shared" si="47"/>
        <v>6.5643682102231107E-2</v>
      </c>
      <c r="AD43" s="3">
        <f t="shared" si="47"/>
        <v>-0.14517829881679614</v>
      </c>
      <c r="AE43" s="3">
        <f t="shared" si="47"/>
        <v>-0.11980628581788716</v>
      </c>
      <c r="AF43" s="3">
        <f t="shared" si="47"/>
        <v>-0.27744402388589068</v>
      </c>
      <c r="AG43" s="3">
        <f t="shared" si="47"/>
        <v>0.79316056766485654</v>
      </c>
      <c r="AH43" s="3">
        <f t="shared" si="47"/>
        <v>-0.22285160384972916</v>
      </c>
      <c r="AI43" s="3">
        <f t="shared" si="47"/>
        <v>-5.5849914678855195E-2</v>
      </c>
      <c r="AJ43" s="3">
        <f t="shared" si="47"/>
        <v>-0.24196165065958125</v>
      </c>
      <c r="AK43" s="3"/>
      <c r="AL43" s="8"/>
      <c r="AW43" s="3"/>
      <c r="AX43" s="35"/>
      <c r="AY43" s="35"/>
      <c r="AZ43" s="28">
        <v>44215</v>
      </c>
      <c r="BA43" s="3">
        <f t="shared" si="33"/>
        <v>38</v>
      </c>
      <c r="BB43" s="3">
        <f t="shared" si="21"/>
        <v>1.1115997745931947</v>
      </c>
      <c r="BC43" s="3">
        <f t="shared" si="22"/>
        <v>1.0775684087084674</v>
      </c>
      <c r="BD43" s="3">
        <f t="shared" si="23"/>
        <v>2.0798353783131316</v>
      </c>
      <c r="BE43" s="3">
        <f t="shared" si="24"/>
        <v>1.5390780510755431</v>
      </c>
      <c r="BG43" s="3">
        <f t="shared" si="27"/>
        <v>2.4350211900690932E-2</v>
      </c>
      <c r="BH43" s="3">
        <f t="shared" si="28"/>
        <v>2.4428886684020268E-2</v>
      </c>
      <c r="BI43" s="3">
        <f t="shared" si="29"/>
        <v>2.6392205314540316E-2</v>
      </c>
      <c r="BJ43" s="3">
        <f t="shared" si="30"/>
        <v>2.6306923481503781E-2</v>
      </c>
    </row>
    <row r="44" spans="1:62" ht="13.5" x14ac:dyDescent="0.2">
      <c r="A44" s="28">
        <v>44218</v>
      </c>
      <c r="B44" s="29">
        <v>224.07174699999999</v>
      </c>
      <c r="C44" s="29">
        <v>138.21792600000001</v>
      </c>
      <c r="D44" s="29">
        <v>3292.2299800000001</v>
      </c>
      <c r="E44" s="29">
        <v>1892.5600589999999</v>
      </c>
      <c r="F44" s="29">
        <v>846.64001499999995</v>
      </c>
      <c r="G44" s="29">
        <v>1901.0500489999999</v>
      </c>
      <c r="H44" s="29">
        <v>274.5</v>
      </c>
      <c r="I44" s="29">
        <v>137.00535600000001</v>
      </c>
      <c r="J44" s="29">
        <v>232.91999799999999</v>
      </c>
      <c r="K44" s="29">
        <v>131.452438</v>
      </c>
      <c r="L44" s="26">
        <v>3841.47</v>
      </c>
      <c r="N44" s="3">
        <f t="shared" si="5"/>
        <v>1.5720032352391323E-2</v>
      </c>
      <c r="O44" s="3">
        <f t="shared" si="6"/>
        <v>2.7307451773555532E-2</v>
      </c>
      <c r="P44" s="3">
        <f t="shared" si="7"/>
        <v>5.3749111342529668E-4</v>
      </c>
      <c r="Q44" s="3">
        <f t="shared" si="8"/>
        <v>9.0839331912853562E-4</v>
      </c>
      <c r="R44" s="3">
        <f t="shared" si="9"/>
        <v>3.9554979281929699E-2</v>
      </c>
      <c r="S44" s="3">
        <f t="shared" si="10"/>
        <v>-8.6833141969095882E-4</v>
      </c>
      <c r="T44" s="3">
        <f t="shared" si="11"/>
        <v>1.2705859287052866E-2</v>
      </c>
      <c r="U44" s="3">
        <f t="shared" si="12"/>
        <v>-4.3304420874381178E-3</v>
      </c>
      <c r="V44" s="3">
        <f t="shared" si="13"/>
        <v>3.8631125907889974E-4</v>
      </c>
      <c r="W44" s="3">
        <f t="shared" si="14"/>
        <v>-1.2560813892119034E-2</v>
      </c>
      <c r="X44" s="3">
        <f t="shared" si="15"/>
        <v>3.609282023548102E-3</v>
      </c>
      <c r="Z44" s="6" t="s">
        <v>33</v>
      </c>
      <c r="AA44" s="3">
        <f t="shared" ref="AA44:AJ52" si="48">VALUE(AA30)</f>
        <v>0.31862902532492482</v>
      </c>
      <c r="AB44" s="3">
        <f t="shared" si="48"/>
        <v>-0.28643313854509034</v>
      </c>
      <c r="AC44" s="3">
        <f t="shared" si="48"/>
        <v>-0.25305848653998653</v>
      </c>
      <c r="AD44" s="3">
        <f t="shared" si="48"/>
        <v>-0.32741274017740529</v>
      </c>
      <c r="AE44" s="3">
        <f t="shared" si="48"/>
        <v>0.66764438836106588</v>
      </c>
      <c r="AF44" s="3">
        <f t="shared" si="48"/>
        <v>-3.9411300582419394E-2</v>
      </c>
      <c r="AG44" s="3">
        <f t="shared" si="48"/>
        <v>-8.981327069479636E-2</v>
      </c>
      <c r="AH44" s="3">
        <f t="shared" si="48"/>
        <v>0.38879944243694758</v>
      </c>
      <c r="AI44" s="3">
        <f t="shared" si="48"/>
        <v>-4.2085415778580597E-3</v>
      </c>
      <c r="AJ44" s="3">
        <f t="shared" si="48"/>
        <v>-0.19657690491332114</v>
      </c>
      <c r="AK44" s="3"/>
      <c r="AL44" s="8"/>
      <c r="AW44" s="3"/>
      <c r="AX44" s="35"/>
      <c r="AY44" s="35"/>
      <c r="AZ44" s="28">
        <v>44216</v>
      </c>
      <c r="BA44" s="3">
        <f t="shared" si="33"/>
        <v>39</v>
      </c>
      <c r="BB44" s="3">
        <f t="shared" si="21"/>
        <v>1.1389997078977172</v>
      </c>
      <c r="BC44" s="3">
        <f t="shared" si="22"/>
        <v>1.1042163700599297</v>
      </c>
      <c r="BD44" s="3">
        <f t="shared" si="23"/>
        <v>2.1354575884397606</v>
      </c>
      <c r="BE44" s="3">
        <f t="shared" si="24"/>
        <v>1.5801037232345316</v>
      </c>
      <c r="BG44" s="3">
        <f t="shared" si="27"/>
        <v>8.5390680788498454E-3</v>
      </c>
      <c r="BH44" s="3">
        <f t="shared" si="28"/>
        <v>7.5381548887876217E-3</v>
      </c>
      <c r="BI44" s="3">
        <f t="shared" si="29"/>
        <v>1.0413588054414835E-2</v>
      </c>
      <c r="BJ44" s="3">
        <f t="shared" si="30"/>
        <v>1.1151535224737797E-2</v>
      </c>
    </row>
    <row r="45" spans="1:62" ht="13.5" x14ac:dyDescent="0.2">
      <c r="A45" s="28">
        <v>44221</v>
      </c>
      <c r="B45" s="29">
        <v>227.621994</v>
      </c>
      <c r="C45" s="29">
        <v>142.04431199999999</v>
      </c>
      <c r="D45" s="29">
        <v>3294</v>
      </c>
      <c r="E45" s="29">
        <v>1894.280029</v>
      </c>
      <c r="F45" s="29">
        <v>880.79998799999998</v>
      </c>
      <c r="G45" s="29">
        <v>1899.400024</v>
      </c>
      <c r="H45" s="29">
        <v>278.01001000000002</v>
      </c>
      <c r="I45" s="29">
        <v>136.41334499999999</v>
      </c>
      <c r="J45" s="29">
        <v>233.009995</v>
      </c>
      <c r="K45" s="29">
        <v>129.81161499999999</v>
      </c>
      <c r="L45" s="26">
        <v>3855.36</v>
      </c>
      <c r="N45" s="3">
        <f t="shared" si="5"/>
        <v>1.2125071603095521E-2</v>
      </c>
      <c r="O45" s="3">
        <f t="shared" si="6"/>
        <v>1.6780320250480811E-3</v>
      </c>
      <c r="P45" s="3">
        <f t="shared" si="7"/>
        <v>9.7067990646101474E-3</v>
      </c>
      <c r="Q45" s="3">
        <f t="shared" si="8"/>
        <v>7.1905071341292273E-3</v>
      </c>
      <c r="R45" s="3">
        <f t="shared" si="9"/>
        <v>2.5965794547150407E-3</v>
      </c>
      <c r="S45" s="3">
        <f t="shared" si="10"/>
        <v>9.348587167228117E-3</v>
      </c>
      <c r="T45" s="3">
        <f t="shared" si="11"/>
        <v>1.4427197403698019E-2</v>
      </c>
      <c r="U45" s="3">
        <f t="shared" si="12"/>
        <v>-1.6095645664254726E-2</v>
      </c>
      <c r="V45" s="3">
        <f t="shared" si="13"/>
        <v>-6.1991157830465866E-3</v>
      </c>
      <c r="W45" s="3">
        <f t="shared" si="14"/>
        <v>-4.0955519719002393E-3</v>
      </c>
      <c r="X45" s="3">
        <f t="shared" si="15"/>
        <v>-1.4899457394751568E-3</v>
      </c>
      <c r="Z45" s="6" t="s">
        <v>34</v>
      </c>
      <c r="AA45" s="3">
        <f t="shared" si="48"/>
        <v>0.26620673935199707</v>
      </c>
      <c r="AB45" s="3">
        <f t="shared" si="48"/>
        <v>-0.11003817714763255</v>
      </c>
      <c r="AC45" s="3">
        <f t="shared" si="48"/>
        <v>-0.63936509429004829</v>
      </c>
      <c r="AD45" s="3">
        <f t="shared" si="48"/>
        <v>0.69807565121825566</v>
      </c>
      <c r="AE45" s="3">
        <f t="shared" si="48"/>
        <v>-3.729725642767321E-2</v>
      </c>
      <c r="AF45" s="3">
        <f t="shared" si="48"/>
        <v>-0.11379100898567576</v>
      </c>
      <c r="AG45" s="3">
        <f t="shared" si="48"/>
        <v>5.3896457843909942E-3</v>
      </c>
      <c r="AH45" s="3">
        <f t="shared" si="48"/>
        <v>-4.5087218185471678E-2</v>
      </c>
      <c r="AI45" s="3">
        <f t="shared" si="48"/>
        <v>3.7437183020626583E-2</v>
      </c>
      <c r="AJ45" s="3">
        <f t="shared" si="48"/>
        <v>5.5904432850847438E-2</v>
      </c>
      <c r="AK45" s="3"/>
      <c r="AL45" s="8"/>
      <c r="AW45" s="3"/>
      <c r="AY45" s="5"/>
      <c r="AZ45" s="28">
        <v>44217</v>
      </c>
      <c r="BA45" s="3">
        <f t="shared" si="33"/>
        <v>40</v>
      </c>
      <c r="BB45" s="3">
        <f t="shared" si="21"/>
        <v>1.1487673478654663</v>
      </c>
      <c r="BC45" s="3">
        <f t="shared" si="22"/>
        <v>1.112571575941715</v>
      </c>
      <c r="BD45" s="3">
        <f t="shared" si="23"/>
        <v>2.157811554560507</v>
      </c>
      <c r="BE45" s="3">
        <f t="shared" si="24"/>
        <v>1.5978229200619627</v>
      </c>
      <c r="BG45" s="3">
        <f t="shared" si="27"/>
        <v>1.0506035406745884E-3</v>
      </c>
      <c r="BH45" s="3">
        <f t="shared" si="28"/>
        <v>9.4615536305401595E-4</v>
      </c>
      <c r="BI45" s="3">
        <f t="shared" si="29"/>
        <v>2.5756214084431835E-3</v>
      </c>
      <c r="BJ45" s="3">
        <f t="shared" si="30"/>
        <v>3.8267751043084843E-3</v>
      </c>
    </row>
    <row r="46" spans="1:62" ht="13.5" x14ac:dyDescent="0.2">
      <c r="A46" s="28">
        <v>44222</v>
      </c>
      <c r="B46" s="29">
        <v>230.39872700000001</v>
      </c>
      <c r="C46" s="29">
        <v>142.28286700000001</v>
      </c>
      <c r="D46" s="29">
        <v>3326.1298830000001</v>
      </c>
      <c r="E46" s="29">
        <v>1907.9499510000001</v>
      </c>
      <c r="F46" s="29">
        <v>883.09002699999996</v>
      </c>
      <c r="G46" s="29">
        <v>1917.23999</v>
      </c>
      <c r="H46" s="29">
        <v>282.04998799999998</v>
      </c>
      <c r="I46" s="29">
        <v>134.23526000000001</v>
      </c>
      <c r="J46" s="29">
        <v>231.570007</v>
      </c>
      <c r="K46" s="29">
        <v>129.28105199999999</v>
      </c>
      <c r="L46" s="26">
        <v>3849.62</v>
      </c>
      <c r="N46" s="3">
        <f t="shared" si="5"/>
        <v>2.4504029616547536E-3</v>
      </c>
      <c r="O46" s="3">
        <f t="shared" si="6"/>
        <v>-7.7135001560445487E-3</v>
      </c>
      <c r="P46" s="3">
        <f t="shared" si="7"/>
        <v>-2.8528826686534697E-2</v>
      </c>
      <c r="Q46" s="3">
        <f t="shared" si="8"/>
        <v>-4.7775460151168216E-2</v>
      </c>
      <c r="R46" s="3">
        <f t="shared" si="9"/>
        <v>-2.1669245638840453E-2</v>
      </c>
      <c r="S46" s="3">
        <f t="shared" si="10"/>
        <v>-4.6139057637874598E-2</v>
      </c>
      <c r="T46" s="3">
        <f t="shared" si="11"/>
        <v>-3.5767622758936392E-2</v>
      </c>
      <c r="U46" s="3">
        <f t="shared" si="12"/>
        <v>-3.9279653800932769E-2</v>
      </c>
      <c r="V46" s="3">
        <f t="shared" si="13"/>
        <v>-1.8347565111210808E-2</v>
      </c>
      <c r="W46" s="3">
        <f t="shared" si="14"/>
        <v>-2.8679071248151621E-2</v>
      </c>
      <c r="X46" s="3">
        <f t="shared" si="15"/>
        <v>-2.601328989204868E-2</v>
      </c>
      <c r="Z46" s="6" t="s">
        <v>35</v>
      </c>
      <c r="AA46" s="3">
        <f t="shared" si="48"/>
        <v>0.36128586586024669</v>
      </c>
      <c r="AB46" s="3">
        <f t="shared" si="48"/>
        <v>7.9488808952206003E-2</v>
      </c>
      <c r="AC46" s="3">
        <f t="shared" si="48"/>
        <v>7.1124722813182786E-2</v>
      </c>
      <c r="AD46" s="3">
        <f t="shared" si="48"/>
        <v>-0.16916011293326505</v>
      </c>
      <c r="AE46" s="3">
        <f t="shared" si="48"/>
        <v>-1.4491988588083989E-2</v>
      </c>
      <c r="AF46" s="3">
        <f t="shared" si="48"/>
        <v>-0.28019902699655297</v>
      </c>
      <c r="AG46" s="3">
        <f t="shared" si="48"/>
        <v>-0.33906167126174963</v>
      </c>
      <c r="AH46" s="3">
        <f t="shared" si="48"/>
        <v>-0.39052540494852611</v>
      </c>
      <c r="AI46" s="3">
        <f t="shared" si="48"/>
        <v>0.69432741882698878</v>
      </c>
      <c r="AJ46" s="3">
        <f t="shared" si="48"/>
        <v>3.4571614817689271E-2</v>
      </c>
      <c r="AK46" s="3"/>
      <c r="AL46" s="8"/>
      <c r="AW46" s="3"/>
      <c r="AY46" s="5"/>
      <c r="AZ46" s="28">
        <v>44218</v>
      </c>
      <c r="BA46" s="3">
        <f t="shared" si="33"/>
        <v>41</v>
      </c>
      <c r="BB46" s="3">
        <f t="shared" si="21"/>
        <v>1.14997488111683</v>
      </c>
      <c r="BC46" s="3">
        <f t="shared" si="22"/>
        <v>1.1136247396547545</v>
      </c>
      <c r="BD46" s="3">
        <f t="shared" si="23"/>
        <v>2.1633764236173945</v>
      </c>
      <c r="BE46" s="3">
        <f t="shared" si="24"/>
        <v>1.6039491433968813</v>
      </c>
      <c r="BG46" s="3">
        <f t="shared" si="27"/>
        <v>9.899903361879115E-3</v>
      </c>
      <c r="BH46" s="3">
        <f t="shared" si="28"/>
        <v>6.9576125169990236E-3</v>
      </c>
      <c r="BI46" s="3">
        <f t="shared" si="29"/>
        <v>2.0024698187640355E-2</v>
      </c>
      <c r="BJ46" s="3">
        <f t="shared" si="30"/>
        <v>3.1042006541752414E-2</v>
      </c>
    </row>
    <row r="47" spans="1:62" ht="13.5" x14ac:dyDescent="0.2">
      <c r="A47" s="28">
        <v>44223</v>
      </c>
      <c r="B47" s="29">
        <v>230.963989</v>
      </c>
      <c r="C47" s="29">
        <v>141.18959000000001</v>
      </c>
      <c r="D47" s="29">
        <v>3232.580078</v>
      </c>
      <c r="E47" s="29">
        <v>1818.9399410000001</v>
      </c>
      <c r="F47" s="29">
        <v>864.15997300000004</v>
      </c>
      <c r="G47" s="29">
        <v>1830.790039</v>
      </c>
      <c r="H47" s="29">
        <v>272.14001500000001</v>
      </c>
      <c r="I47" s="29">
        <v>129.06475800000001</v>
      </c>
      <c r="J47" s="29">
        <v>227.36000100000001</v>
      </c>
      <c r="K47" s="29">
        <v>125.626053</v>
      </c>
      <c r="L47" s="26">
        <v>3750.77</v>
      </c>
      <c r="N47" s="3">
        <f t="shared" si="5"/>
        <v>2.5561441504772547E-2</v>
      </c>
      <c r="O47" s="3">
        <f t="shared" si="6"/>
        <v>-3.5611936062576767E-2</v>
      </c>
      <c r="P47" s="3">
        <f t="shared" si="7"/>
        <v>1.5579239799399325E-3</v>
      </c>
      <c r="Q47" s="3">
        <f t="shared" si="8"/>
        <v>1.8659966720795784E-2</v>
      </c>
      <c r="R47" s="3">
        <f t="shared" si="9"/>
        <v>-3.3811351620126065E-2</v>
      </c>
      <c r="S47" s="3">
        <f t="shared" si="10"/>
        <v>1.7499537385496495E-2</v>
      </c>
      <c r="T47" s="3">
        <f t="shared" si="11"/>
        <v>-2.6586868895177595E-2</v>
      </c>
      <c r="U47" s="3">
        <f t="shared" si="12"/>
        <v>1.0262485674837923E-2</v>
      </c>
      <c r="V47" s="3">
        <f t="shared" si="13"/>
        <v>1.5666555139688135E-2</v>
      </c>
      <c r="W47" s="3">
        <f t="shared" si="14"/>
        <v>1.7444312376795616E-2</v>
      </c>
      <c r="X47" s="3">
        <f t="shared" si="15"/>
        <v>9.7133349275994544E-3</v>
      </c>
      <c r="Z47" s="6" t="s">
        <v>36</v>
      </c>
      <c r="AA47" s="3">
        <f t="shared" si="48"/>
        <v>0.17789261597570763</v>
      </c>
      <c r="AB47" s="3">
        <f t="shared" si="48"/>
        <v>-0.71462846355421861</v>
      </c>
      <c r="AC47" s="3">
        <f t="shared" si="48"/>
        <v>0.36297254967562825</v>
      </c>
      <c r="AD47" s="3">
        <f t="shared" si="48"/>
        <v>0.19758859554884842</v>
      </c>
      <c r="AE47" s="3">
        <f t="shared" si="48"/>
        <v>6.1817831042965267E-2</v>
      </c>
      <c r="AF47" s="3">
        <f t="shared" si="48"/>
        <v>0.42945454172532999</v>
      </c>
      <c r="AG47" s="3">
        <f t="shared" si="48"/>
        <v>-5.7166465304844122E-2</v>
      </c>
      <c r="AH47" s="3">
        <f t="shared" si="48"/>
        <v>-0.27530269159003701</v>
      </c>
      <c r="AI47" s="3">
        <f t="shared" si="48"/>
        <v>-1.4880226845180854E-2</v>
      </c>
      <c r="AJ47" s="3">
        <f t="shared" si="48"/>
        <v>0.13905540551866513</v>
      </c>
      <c r="AK47" s="3"/>
      <c r="AL47" s="8"/>
      <c r="AW47" s="3"/>
      <c r="AY47" s="5"/>
      <c r="AZ47" s="28">
        <v>44221</v>
      </c>
      <c r="BA47" s="3">
        <f t="shared" si="33"/>
        <v>42</v>
      </c>
      <c r="BB47" s="3">
        <f t="shared" si="21"/>
        <v>1.1614160611529658</v>
      </c>
      <c r="BC47" s="3">
        <f t="shared" si="22"/>
        <v>1.1213999260845113</v>
      </c>
      <c r="BD47" s="3">
        <f t="shared" si="23"/>
        <v>2.2071340378942006</v>
      </c>
      <c r="BE47" s="3">
        <f t="shared" si="24"/>
        <v>1.6545197895799892</v>
      </c>
      <c r="BG47" s="3">
        <f t="shared" si="27"/>
        <v>3.072382489257312E-3</v>
      </c>
      <c r="BH47" s="3">
        <f t="shared" si="28"/>
        <v>3.3079583874119833E-3</v>
      </c>
      <c r="BI47" s="3">
        <f t="shared" si="29"/>
        <v>2.6721392653380931E-3</v>
      </c>
      <c r="BJ47" s="3">
        <f t="shared" si="30"/>
        <v>2.2006765438709209E-3</v>
      </c>
    </row>
    <row r="48" spans="1:62" ht="13.5" x14ac:dyDescent="0.2">
      <c r="A48" s="28">
        <v>44224</v>
      </c>
      <c r="B48" s="29">
        <v>236.94386299999999</v>
      </c>
      <c r="C48" s="29">
        <v>136.25003100000001</v>
      </c>
      <c r="D48" s="29">
        <v>3237.6201169999999</v>
      </c>
      <c r="E48" s="29">
        <v>1853.1999510000001</v>
      </c>
      <c r="F48" s="29">
        <v>835.42999299999997</v>
      </c>
      <c r="G48" s="29">
        <v>1863.1099850000001</v>
      </c>
      <c r="H48" s="29">
        <v>265</v>
      </c>
      <c r="I48" s="29">
        <v>130.39610300000001</v>
      </c>
      <c r="J48" s="29">
        <v>230.949997</v>
      </c>
      <c r="K48" s="29">
        <v>127.83673899999999</v>
      </c>
      <c r="L48" s="26">
        <v>3787.38</v>
      </c>
      <c r="N48" s="3">
        <f t="shared" si="5"/>
        <v>-2.9605692210906049E-2</v>
      </c>
      <c r="O48" s="3">
        <f t="shared" si="6"/>
        <v>-3.8138715777270203E-2</v>
      </c>
      <c r="P48" s="3">
        <f t="shared" si="7"/>
        <v>-9.7521081229173436E-3</v>
      </c>
      <c r="Q48" s="3">
        <f t="shared" si="8"/>
        <v>-1.4041554008008141E-2</v>
      </c>
      <c r="R48" s="3">
        <f t="shared" si="9"/>
        <v>-5.1455170999523889E-2</v>
      </c>
      <c r="S48" s="3">
        <f t="shared" si="10"/>
        <v>-1.4799461854620157E-2</v>
      </c>
      <c r="T48" s="3">
        <f t="shared" si="11"/>
        <v>-2.5492038933269911E-2</v>
      </c>
      <c r="U48" s="3">
        <f t="shared" si="12"/>
        <v>-4.7039703313186904E-3</v>
      </c>
      <c r="V48" s="3">
        <f t="shared" si="13"/>
        <v>-1.3425954925111101E-2</v>
      </c>
      <c r="W48" s="3">
        <f t="shared" si="14"/>
        <v>-1.1129262865867117E-2</v>
      </c>
      <c r="X48" s="3">
        <f t="shared" si="15"/>
        <v>-1.9500405967127862E-2</v>
      </c>
      <c r="Z48" s="6" t="s">
        <v>37</v>
      </c>
      <c r="AA48" s="3">
        <f t="shared" si="48"/>
        <v>0.36165188990759928</v>
      </c>
      <c r="AB48" s="3">
        <f t="shared" si="48"/>
        <v>0.10886302332211936</v>
      </c>
      <c r="AC48" s="3">
        <f t="shared" si="48"/>
        <v>4.0838412763622288E-2</v>
      </c>
      <c r="AD48" s="3">
        <f t="shared" si="48"/>
        <v>-0.10601816413827098</v>
      </c>
      <c r="AE48" s="3">
        <f t="shared" si="48"/>
        <v>-3.8610941334725826E-2</v>
      </c>
      <c r="AF48" s="3">
        <f t="shared" si="48"/>
        <v>-0.24384796808007198</v>
      </c>
      <c r="AG48" s="3">
        <f t="shared" si="48"/>
        <v>-0.40252398889704688</v>
      </c>
      <c r="AH48" s="3">
        <f t="shared" si="48"/>
        <v>-0.33328485529979152</v>
      </c>
      <c r="AI48" s="3">
        <f t="shared" si="48"/>
        <v>-0.71435618930423539</v>
      </c>
      <c r="AJ48" s="3">
        <f t="shared" si="48"/>
        <v>9.3470669482381887E-3</v>
      </c>
      <c r="AK48" s="3"/>
      <c r="AL48" s="8"/>
      <c r="AW48" s="3"/>
      <c r="AY48" s="5"/>
      <c r="AZ48" s="28">
        <v>44222</v>
      </c>
      <c r="BA48" s="3">
        <f t="shared" si="33"/>
        <v>43</v>
      </c>
      <c r="BB48" s="3">
        <f t="shared" si="21"/>
        <v>1.1649898627534716</v>
      </c>
      <c r="BC48" s="3">
        <f t="shared" si="22"/>
        <v>1.1251156126556563</v>
      </c>
      <c r="BD48" s="3">
        <f t="shared" si="23"/>
        <v>2.2130396942748463</v>
      </c>
      <c r="BE48" s="3">
        <f t="shared" si="24"/>
        <v>1.6581648618136875</v>
      </c>
      <c r="BG48" s="3">
        <f t="shared" si="27"/>
        <v>-2.643594228692666E-2</v>
      </c>
      <c r="BH48" s="3">
        <f t="shared" si="28"/>
        <v>-2.5351688327416116E-2</v>
      </c>
      <c r="BI48" s="3">
        <f t="shared" si="29"/>
        <v>-2.2861758024662959E-2</v>
      </c>
      <c r="BJ48" s="3">
        <f t="shared" si="30"/>
        <v>-1.9168735301905052E-2</v>
      </c>
    </row>
    <row r="49" spans="1:62" ht="13.5" x14ac:dyDescent="0.2">
      <c r="A49" s="28">
        <v>44225</v>
      </c>
      <c r="B49" s="29">
        <v>230.03179900000001</v>
      </c>
      <c r="C49" s="29">
        <v>131.15147400000001</v>
      </c>
      <c r="D49" s="29">
        <v>3206.1999510000001</v>
      </c>
      <c r="E49" s="29">
        <v>1827.3599850000001</v>
      </c>
      <c r="F49" s="29">
        <v>793.53002900000001</v>
      </c>
      <c r="G49" s="29">
        <v>1835.73999</v>
      </c>
      <c r="H49" s="29">
        <v>258.32998700000002</v>
      </c>
      <c r="I49" s="29">
        <v>129.784164</v>
      </c>
      <c r="J49" s="29">
        <v>227.86999499999999</v>
      </c>
      <c r="K49" s="29">
        <v>126.421898</v>
      </c>
      <c r="L49" s="26">
        <v>3714.24</v>
      </c>
      <c r="N49" s="3">
        <f t="shared" si="5"/>
        <v>3.2614549926910742E-2</v>
      </c>
      <c r="O49" s="3">
        <f t="shared" si="6"/>
        <v>1.6385056623850675E-2</v>
      </c>
      <c r="P49" s="3">
        <f t="shared" si="7"/>
        <v>4.1746255901495784E-2</v>
      </c>
      <c r="Q49" s="3">
        <f t="shared" si="8"/>
        <v>3.5327527248069784E-2</v>
      </c>
      <c r="R49" s="3">
        <f t="shared" si="9"/>
        <v>5.6684290414037192E-2</v>
      </c>
      <c r="S49" s="3">
        <f t="shared" si="10"/>
        <v>3.5116483038742638E-2</v>
      </c>
      <c r="T49" s="3">
        <f t="shared" si="11"/>
        <v>1.4144922085180225E-2</v>
      </c>
      <c r="U49" s="3">
        <f t="shared" si="12"/>
        <v>1.8855197022688893E-2</v>
      </c>
      <c r="V49" s="3">
        <f t="shared" si="13"/>
        <v>6.3431696035334108E-3</v>
      </c>
      <c r="W49" s="3">
        <f t="shared" si="14"/>
        <v>7.3560528057662724E-3</v>
      </c>
      <c r="X49" s="3">
        <f t="shared" si="15"/>
        <v>1.5924269140718334E-2</v>
      </c>
      <c r="Z49" s="6" t="s">
        <v>38</v>
      </c>
      <c r="AA49" s="3">
        <f t="shared" si="48"/>
        <v>0.32079922042403514</v>
      </c>
      <c r="AB49" s="3">
        <f t="shared" si="48"/>
        <v>0.29915448444344372</v>
      </c>
      <c r="AC49" s="3">
        <f t="shared" si="48"/>
        <v>-0.29998879719820359</v>
      </c>
      <c r="AD49" s="3">
        <f t="shared" si="48"/>
        <v>-0.30823248553773563</v>
      </c>
      <c r="AE49" s="3">
        <f t="shared" si="48"/>
        <v>-2.3743018056069431E-2</v>
      </c>
      <c r="AF49" s="3">
        <f t="shared" si="48"/>
        <v>0.56035250885573007</v>
      </c>
      <c r="AG49" s="3">
        <f t="shared" si="48"/>
        <v>0.18875432382369153</v>
      </c>
      <c r="AH49" s="3">
        <f t="shared" si="48"/>
        <v>-9.6980559270067074E-2</v>
      </c>
      <c r="AI49" s="3">
        <f t="shared" si="48"/>
        <v>-7.8048225489682193E-3</v>
      </c>
      <c r="AJ49" s="3">
        <f t="shared" si="48"/>
        <v>0.51277763898857387</v>
      </c>
      <c r="AK49" s="3"/>
      <c r="AL49" s="8"/>
      <c r="AW49" s="3"/>
      <c r="AY49" s="5"/>
      <c r="AZ49" s="28">
        <v>44223</v>
      </c>
      <c r="BA49" s="3">
        <f t="shared" si="33"/>
        <v>44</v>
      </c>
      <c r="BB49" s="3">
        <f t="shared" si="21"/>
        <v>1.1345957762135885</v>
      </c>
      <c r="BC49" s="3">
        <f t="shared" si="22"/>
        <v>1.0969505566484234</v>
      </c>
      <c r="BD49" s="3">
        <f t="shared" si="23"/>
        <v>2.163019667759841</v>
      </c>
      <c r="BE49" s="3">
        <f t="shared" si="24"/>
        <v>1.6266826396630443</v>
      </c>
      <c r="BG49" s="3">
        <f t="shared" si="27"/>
        <v>-1.1606433605135008E-3</v>
      </c>
      <c r="BH49" s="3">
        <f t="shared" si="28"/>
        <v>3.7121644666186339E-3</v>
      </c>
      <c r="BI49" s="3">
        <f t="shared" si="29"/>
        <v>-1.1353843603998562E-2</v>
      </c>
      <c r="BJ49" s="3">
        <f t="shared" si="30"/>
        <v>-2.3237994592684632E-2</v>
      </c>
    </row>
    <row r="50" spans="1:62" ht="13.5" x14ac:dyDescent="0.2">
      <c r="A50" s="28">
        <v>44228</v>
      </c>
      <c r="B50" s="29">
        <v>237.65786700000001</v>
      </c>
      <c r="C50" s="29">
        <v>133.31809999999999</v>
      </c>
      <c r="D50" s="29">
        <v>3342.8798830000001</v>
      </c>
      <c r="E50" s="29">
        <v>1893.0699460000001</v>
      </c>
      <c r="F50" s="29">
        <v>839.80999799999995</v>
      </c>
      <c r="G50" s="29">
        <v>1901.349976</v>
      </c>
      <c r="H50" s="29">
        <v>262.01001000000002</v>
      </c>
      <c r="I50" s="29">
        <v>132.25448600000001</v>
      </c>
      <c r="J50" s="29">
        <v>229.320007</v>
      </c>
      <c r="K50" s="29">
        <v>127.355293</v>
      </c>
      <c r="L50" s="26">
        <v>3773.86</v>
      </c>
      <c r="N50" s="3">
        <f t="shared" si="5"/>
        <v>-5.8436765512759586E-4</v>
      </c>
      <c r="O50" s="3">
        <f t="shared" si="6"/>
        <v>6.3168655146542399E-3</v>
      </c>
      <c r="P50" s="3">
        <f t="shared" si="7"/>
        <v>1.1043033602884876E-2</v>
      </c>
      <c r="Q50" s="3">
        <f t="shared" si="8"/>
        <v>1.3666923674502356E-2</v>
      </c>
      <c r="R50" s="3">
        <f t="shared" si="9"/>
        <v>3.8519278473397235E-2</v>
      </c>
      <c r="S50" s="3">
        <f t="shared" si="10"/>
        <v>1.3664872136118115E-2</v>
      </c>
      <c r="T50" s="3">
        <f t="shared" si="11"/>
        <v>1.9165481176980106E-2</v>
      </c>
      <c r="U50" s="3">
        <f t="shared" si="12"/>
        <v>2.3868693655689568E-2</v>
      </c>
      <c r="V50" s="3">
        <f t="shared" si="13"/>
        <v>1.2652902680614411E-2</v>
      </c>
      <c r="W50" s="3">
        <f t="shared" si="14"/>
        <v>3.0318083093825814E-2</v>
      </c>
      <c r="X50" s="3">
        <f t="shared" si="15"/>
        <v>1.3802541965649213E-2</v>
      </c>
      <c r="Z50" s="6" t="s">
        <v>39</v>
      </c>
      <c r="AA50" s="3">
        <f t="shared" si="48"/>
        <v>0.34108061946308899</v>
      </c>
      <c r="AB50" s="3">
        <f t="shared" si="48"/>
        <v>-0.21919132631770488</v>
      </c>
      <c r="AC50" s="3">
        <f t="shared" si="48"/>
        <v>1.6119399169279177E-2</v>
      </c>
      <c r="AD50" s="3">
        <f t="shared" si="48"/>
        <v>-0.14902673557528207</v>
      </c>
      <c r="AE50" s="3">
        <f t="shared" si="48"/>
        <v>-0.68202262871654218</v>
      </c>
      <c r="AF50" s="3">
        <f t="shared" si="48"/>
        <v>-4.4449888243995248E-3</v>
      </c>
      <c r="AG50" s="3">
        <f t="shared" si="48"/>
        <v>-0.16667908616419075</v>
      </c>
      <c r="AH50" s="3">
        <f t="shared" si="48"/>
        <v>0.56450984677017102</v>
      </c>
      <c r="AI50" s="3">
        <f t="shared" si="48"/>
        <v>3.0927530925627715E-2</v>
      </c>
      <c r="AJ50" s="3">
        <f t="shared" si="48"/>
        <v>-2.3789693287587517E-2</v>
      </c>
      <c r="AK50" s="3"/>
      <c r="AL50" s="8"/>
      <c r="AW50" s="3"/>
      <c r="AY50" s="5"/>
      <c r="AZ50" s="28">
        <v>44224</v>
      </c>
      <c r="BA50" s="3">
        <f t="shared" si="33"/>
        <v>45</v>
      </c>
      <c r="BB50" s="3">
        <f t="shared" si="21"/>
        <v>1.1332796790665094</v>
      </c>
      <c r="BC50" s="3">
        <f t="shared" si="22"/>
        <v>1.1010301849672641</v>
      </c>
      <c r="BD50" s="3">
        <f t="shared" si="23"/>
        <v>2.1385999717718169</v>
      </c>
      <c r="BE50" s="3">
        <f t="shared" si="24"/>
        <v>1.5893176227335291</v>
      </c>
      <c r="BG50" s="3">
        <f t="shared" si="27"/>
        <v>-2.310068131887652E-2</v>
      </c>
      <c r="BH50" s="3">
        <f t="shared" si="28"/>
        <v>-2.0642115245887684E-2</v>
      </c>
      <c r="BI50" s="3">
        <f t="shared" si="29"/>
        <v>-3.162211843892989E-2</v>
      </c>
      <c r="BJ50" s="3">
        <f t="shared" si="30"/>
        <v>-4.1197200856160063E-2</v>
      </c>
    </row>
    <row r="51" spans="1:62" ht="13.5" x14ac:dyDescent="0.2">
      <c r="A51" s="28">
        <v>44229</v>
      </c>
      <c r="B51" s="29">
        <v>237.51902799999999</v>
      </c>
      <c r="C51" s="29">
        <v>134.16291799999999</v>
      </c>
      <c r="D51" s="29">
        <v>3380</v>
      </c>
      <c r="E51" s="29">
        <v>1919.119995</v>
      </c>
      <c r="F51" s="29">
        <v>872.78997800000002</v>
      </c>
      <c r="G51" s="29">
        <v>1927.51001</v>
      </c>
      <c r="H51" s="29">
        <v>267.07998700000002</v>
      </c>
      <c r="I51" s="29">
        <v>135.44920300000001</v>
      </c>
      <c r="J51" s="29">
        <v>232.240005</v>
      </c>
      <c r="K51" s="29">
        <v>131.275589</v>
      </c>
      <c r="L51" s="26">
        <v>3826.31</v>
      </c>
      <c r="N51" s="3">
        <f t="shared" si="5"/>
        <v>1.446631222773021E-2</v>
      </c>
      <c r="O51" s="3">
        <f t="shared" si="6"/>
        <v>-7.8087431307973781E-3</v>
      </c>
      <c r="P51" s="3">
        <f t="shared" si="7"/>
        <v>-2.0163452865186341E-2</v>
      </c>
      <c r="Q51" s="3">
        <f t="shared" si="8"/>
        <v>7.0295343767286633E-2</v>
      </c>
      <c r="R51" s="3">
        <f t="shared" si="9"/>
        <v>-2.0956119436294756E-2</v>
      </c>
      <c r="S51" s="3">
        <f t="shared" si="10"/>
        <v>7.1353436282391422E-2</v>
      </c>
      <c r="T51" s="3">
        <f t="shared" si="11"/>
        <v>-1.6112757699078622E-3</v>
      </c>
      <c r="U51" s="3">
        <f t="shared" si="12"/>
        <v>-1.9382710571430129E-3</v>
      </c>
      <c r="V51" s="3">
        <f t="shared" si="13"/>
        <v>1.8927477124979601E-3</v>
      </c>
      <c r="W51" s="3">
        <f t="shared" si="14"/>
        <v>1.1386146157589979E-2</v>
      </c>
      <c r="X51" s="3">
        <f t="shared" si="15"/>
        <v>1.0082963259948519E-3</v>
      </c>
      <c r="Z51" s="6" t="s">
        <v>40</v>
      </c>
      <c r="AA51" s="3">
        <f t="shared" si="48"/>
        <v>0.31188113842510201</v>
      </c>
      <c r="AB51" s="3">
        <f t="shared" si="48"/>
        <v>0.40268053837426582</v>
      </c>
      <c r="AC51" s="3">
        <f t="shared" si="48"/>
        <v>0.20014024151429591</v>
      </c>
      <c r="AD51" s="3">
        <f t="shared" si="48"/>
        <v>0.25759546964034791</v>
      </c>
      <c r="AE51" s="3">
        <f t="shared" si="48"/>
        <v>3.8683499284290455E-2</v>
      </c>
      <c r="AF51" s="3">
        <f t="shared" si="48"/>
        <v>0.46810564509087998</v>
      </c>
      <c r="AG51" s="3">
        <f t="shared" si="48"/>
        <v>-6.3432344107892918E-2</v>
      </c>
      <c r="AH51" s="3">
        <f t="shared" si="48"/>
        <v>3.2681161476733472E-2</v>
      </c>
      <c r="AI51" s="3">
        <f t="shared" si="48"/>
        <v>4.2742450341198952E-2</v>
      </c>
      <c r="AJ51" s="3">
        <f t="shared" si="48"/>
        <v>-0.63767472234529898</v>
      </c>
      <c r="AK51" s="3"/>
      <c r="AL51" s="8"/>
      <c r="AW51" s="3"/>
      <c r="AY51" s="5"/>
      <c r="AZ51" s="28">
        <v>44225</v>
      </c>
      <c r="BA51" s="3">
        <f t="shared" si="33"/>
        <v>46</v>
      </c>
      <c r="BB51" s="3">
        <f t="shared" si="21"/>
        <v>1.1074002138473693</v>
      </c>
      <c r="BC51" s="3">
        <f t="shared" si="22"/>
        <v>1.078535560055091</v>
      </c>
      <c r="BD51" s="3">
        <f t="shared" si="23"/>
        <v>2.0720309834793587</v>
      </c>
      <c r="BE51" s="3">
        <f t="shared" si="24"/>
        <v>1.5251725560476428</v>
      </c>
      <c r="BG51" s="3">
        <f t="shared" si="27"/>
        <v>2.818281194722044E-2</v>
      </c>
      <c r="BH51" s="3">
        <f t="shared" si="28"/>
        <v>2.4980440619438559E-2</v>
      </c>
      <c r="BI51" s="3">
        <f t="shared" si="29"/>
        <v>3.8002370286000398E-2</v>
      </c>
      <c r="BJ51" s="3">
        <f t="shared" si="30"/>
        <v>4.8683624166867362E-2</v>
      </c>
    </row>
    <row r="52" spans="1:62" ht="13.5" x14ac:dyDescent="0.2">
      <c r="A52" s="28">
        <v>44230</v>
      </c>
      <c r="B52" s="29">
        <v>240.98002600000001</v>
      </c>
      <c r="C52" s="29">
        <v>133.11935399999999</v>
      </c>
      <c r="D52" s="29">
        <v>3312.530029</v>
      </c>
      <c r="E52" s="29">
        <v>2058.8798830000001</v>
      </c>
      <c r="F52" s="29">
        <v>854.69000200000005</v>
      </c>
      <c r="G52" s="29">
        <v>2070.070068</v>
      </c>
      <c r="H52" s="29">
        <v>266.64999399999999</v>
      </c>
      <c r="I52" s="29">
        <v>135.18691999999999</v>
      </c>
      <c r="J52" s="29">
        <v>232.679993</v>
      </c>
      <c r="K52" s="29">
        <v>132.778854</v>
      </c>
      <c r="L52" s="26">
        <v>3830.17</v>
      </c>
      <c r="N52" s="3">
        <f t="shared" si="5"/>
        <v>-4.0823770721859186E-3</v>
      </c>
      <c r="O52" s="3">
        <f t="shared" si="6"/>
        <v>2.5431673373084454E-2</v>
      </c>
      <c r="P52" s="3">
        <f t="shared" si="7"/>
        <v>5.5603025818016473E-3</v>
      </c>
      <c r="Q52" s="3">
        <f t="shared" si="8"/>
        <v>-2.5531868132508892E-3</v>
      </c>
      <c r="R52" s="3">
        <f t="shared" si="9"/>
        <v>-5.5142594874256143E-3</v>
      </c>
      <c r="S52" s="3">
        <f t="shared" si="10"/>
        <v>-3.7265923117436937E-3</v>
      </c>
      <c r="T52" s="3">
        <f t="shared" si="11"/>
        <v>-6.0023262034630614E-4</v>
      </c>
      <c r="U52" s="3">
        <f t="shared" si="12"/>
        <v>9.8365457233514954E-3</v>
      </c>
      <c r="V52" s="3">
        <f t="shared" si="13"/>
        <v>1.3192681553555562E-2</v>
      </c>
      <c r="W52" s="3">
        <f t="shared" si="14"/>
        <v>2.2752373011295197E-2</v>
      </c>
      <c r="X52" s="3">
        <f t="shared" si="15"/>
        <v>1.0794829768938023E-2</v>
      </c>
      <c r="Z52" s="6" t="s">
        <v>41</v>
      </c>
      <c r="AA52" s="3">
        <f t="shared" si="48"/>
        <v>0.29866786042519555</v>
      </c>
      <c r="AB52" s="3">
        <f t="shared" si="48"/>
        <v>0.25172161547444993</v>
      </c>
      <c r="AC52" s="3">
        <f t="shared" si="48"/>
        <v>0.50406327169899579</v>
      </c>
      <c r="AD52" s="3">
        <f t="shared" si="48"/>
        <v>0.34920858700260315</v>
      </c>
      <c r="AE52" s="3">
        <f t="shared" si="48"/>
        <v>0.25645479595420179</v>
      </c>
      <c r="AF52" s="3">
        <f t="shared" si="48"/>
        <v>-0.23017613369507403</v>
      </c>
      <c r="AG52" s="3">
        <f t="shared" si="48"/>
        <v>0.12292552179853843</v>
      </c>
      <c r="AH52" s="3">
        <f t="shared" si="48"/>
        <v>0.35862820023974701</v>
      </c>
      <c r="AI52" s="3">
        <f t="shared" si="48"/>
        <v>6.6118613445837751E-4</v>
      </c>
      <c r="AJ52" s="3">
        <f t="shared" si="48"/>
        <v>0.45709068724406243</v>
      </c>
      <c r="AK52" s="3"/>
      <c r="AL52" s="8"/>
      <c r="AW52" s="3"/>
      <c r="AY52" s="5"/>
      <c r="AZ52" s="28">
        <v>44228</v>
      </c>
      <c r="BA52" s="3">
        <f t="shared" si="33"/>
        <v>47</v>
      </c>
      <c r="BB52" s="3">
        <f t="shared" si="21"/>
        <v>1.1390538144612605</v>
      </c>
      <c r="BC52" s="3">
        <f t="shared" si="22"/>
        <v>1.1058171884370207</v>
      </c>
      <c r="BD52" s="3">
        <f t="shared" si="23"/>
        <v>2.1522883995649766</v>
      </c>
      <c r="BE52" s="3">
        <f t="shared" si="24"/>
        <v>1.6012605764560079</v>
      </c>
      <c r="BG52" s="3">
        <f t="shared" si="27"/>
        <v>1.8019286313485178E-2</v>
      </c>
      <c r="BH52" s="3">
        <f t="shared" si="28"/>
        <v>1.5359618373528604E-2</v>
      </c>
      <c r="BI52" s="3">
        <f t="shared" si="29"/>
        <v>2.0986604297063154E-2</v>
      </c>
      <c r="BJ52" s="3">
        <f t="shared" si="30"/>
        <v>2.5226590113154361E-2</v>
      </c>
    </row>
    <row r="53" spans="1:62" ht="13.5" x14ac:dyDescent="0.2">
      <c r="A53" s="28">
        <v>44231</v>
      </c>
      <c r="B53" s="29">
        <v>239.99825999999999</v>
      </c>
      <c r="C53" s="29">
        <v>136.54821799999999</v>
      </c>
      <c r="D53" s="29">
        <v>3331</v>
      </c>
      <c r="E53" s="29">
        <v>2053.6298830000001</v>
      </c>
      <c r="F53" s="29">
        <v>849.98999000000003</v>
      </c>
      <c r="G53" s="29">
        <v>2062.3701169999999</v>
      </c>
      <c r="H53" s="29">
        <v>266.48998999999998</v>
      </c>
      <c r="I53" s="29">
        <v>136.52325400000001</v>
      </c>
      <c r="J53" s="29">
        <v>235.770004</v>
      </c>
      <c r="K53" s="29">
        <v>135.834518</v>
      </c>
      <c r="L53" s="26">
        <v>3871.74</v>
      </c>
      <c r="N53" s="3">
        <f t="shared" si="5"/>
        <v>7.8476435033250636E-4</v>
      </c>
      <c r="O53" s="3">
        <f t="shared" si="6"/>
        <v>-3.1029822576423686E-3</v>
      </c>
      <c r="P53" s="3">
        <f t="shared" si="7"/>
        <v>6.3293425754415095E-3</v>
      </c>
      <c r="Q53" s="3">
        <f t="shared" si="8"/>
        <v>1.6995235966208017E-2</v>
      </c>
      <c r="R53" s="3">
        <f t="shared" si="9"/>
        <v>2.6318470379159478E-3</v>
      </c>
      <c r="S53" s="3">
        <f t="shared" si="10"/>
        <v>1.7128646306082806E-2</v>
      </c>
      <c r="T53" s="3">
        <f t="shared" si="11"/>
        <v>6.02338569676409E-3</v>
      </c>
      <c r="U53" s="3">
        <f t="shared" si="12"/>
        <v>-5.3750964875281596E-3</v>
      </c>
      <c r="V53" s="3">
        <f t="shared" si="13"/>
        <v>-2.5906199681304419E-3</v>
      </c>
      <c r="W53" s="3">
        <f t="shared" si="14"/>
        <v>-1.9549404709577581E-3</v>
      </c>
      <c r="X53" s="3">
        <f t="shared" si="15"/>
        <v>3.8898969855535024E-3</v>
      </c>
      <c r="AK53" s="3"/>
      <c r="AL53" s="8"/>
      <c r="AW53" s="3"/>
      <c r="AY53" s="5"/>
      <c r="AZ53" s="28">
        <v>44229</v>
      </c>
      <c r="BA53" s="3">
        <f t="shared" si="33"/>
        <v>48</v>
      </c>
      <c r="BB53" s="3">
        <f t="shared" si="21"/>
        <v>1.159764789371629</v>
      </c>
      <c r="BC53" s="3">
        <f t="shared" si="22"/>
        <v>1.1229332298775749</v>
      </c>
      <c r="BD53" s="3">
        <f t="shared" si="23"/>
        <v>2.1979349320387693</v>
      </c>
      <c r="BE53" s="3">
        <f t="shared" si="24"/>
        <v>1.6421687379863512</v>
      </c>
      <c r="BG53" s="3">
        <f t="shared" si="27"/>
        <v>1.0550460988763466E-2</v>
      </c>
      <c r="BH53" s="3">
        <f t="shared" si="28"/>
        <v>1.3941764267781181E-2</v>
      </c>
      <c r="BI53" s="3">
        <f t="shared" si="29"/>
        <v>9.0458265763449083E-4</v>
      </c>
      <c r="BJ53" s="3">
        <f t="shared" si="30"/>
        <v>-1.1843143821242094E-2</v>
      </c>
    </row>
    <row r="54" spans="1:62" ht="13.5" x14ac:dyDescent="0.2">
      <c r="A54" s="28">
        <v>44232</v>
      </c>
      <c r="B54" s="29">
        <v>240.18667600000001</v>
      </c>
      <c r="C54" s="29">
        <v>136.125168</v>
      </c>
      <c r="D54" s="29">
        <v>3352.1499020000001</v>
      </c>
      <c r="E54" s="29">
        <v>2088.830078</v>
      </c>
      <c r="F54" s="29">
        <v>852.22997999999995</v>
      </c>
      <c r="G54" s="29">
        <v>2098</v>
      </c>
      <c r="H54" s="29">
        <v>268.10000600000001</v>
      </c>
      <c r="I54" s="29">
        <v>135.79139699999999</v>
      </c>
      <c r="J54" s="29">
        <v>235.16000399999999</v>
      </c>
      <c r="K54" s="29">
        <v>135.56922900000001</v>
      </c>
      <c r="L54" s="26">
        <v>3886.83</v>
      </c>
      <c r="N54" s="3">
        <f t="shared" si="5"/>
        <v>1.1141827881876085E-3</v>
      </c>
      <c r="O54" s="3">
        <f t="shared" si="6"/>
        <v>1.0963450986178152E-3</v>
      </c>
      <c r="P54" s="3">
        <f t="shared" si="7"/>
        <v>-8.7519863064172577E-3</v>
      </c>
      <c r="Q54" s="3">
        <f t="shared" si="8"/>
        <v>-2.065515440182368E-3</v>
      </c>
      <c r="R54" s="3">
        <f t="shared" si="9"/>
        <v>1.3044807416022524E-2</v>
      </c>
      <c r="S54" s="3">
        <f t="shared" si="10"/>
        <v>-2.4291099592933449E-3</v>
      </c>
      <c r="T54" s="3">
        <f t="shared" si="11"/>
        <v>-5.6857302116003908E-3</v>
      </c>
      <c r="U54" s="3">
        <f t="shared" si="12"/>
        <v>6.0507796971040737E-2</v>
      </c>
      <c r="V54" s="3">
        <f t="shared" si="13"/>
        <v>9.5645656577482766E-3</v>
      </c>
      <c r="W54" s="3">
        <f t="shared" si="14"/>
        <v>1.5533344872018073E-2</v>
      </c>
      <c r="X54" s="3">
        <f t="shared" si="15"/>
        <v>7.3721051298863676E-3</v>
      </c>
      <c r="Z54" s="4" t="s">
        <v>20</v>
      </c>
      <c r="AK54" s="3"/>
      <c r="AL54" s="8"/>
      <c r="AW54" s="3"/>
      <c r="AY54" s="5"/>
      <c r="AZ54" s="28">
        <v>44230</v>
      </c>
      <c r="BA54" s="3">
        <f t="shared" si="33"/>
        <v>49</v>
      </c>
      <c r="BB54" s="3">
        <f t="shared" si="21"/>
        <v>1.1720656181425657</v>
      </c>
      <c r="BC54" s="3">
        <f t="shared" si="22"/>
        <v>1.1386985430353134</v>
      </c>
      <c r="BD54" s="3">
        <f t="shared" si="23"/>
        <v>2.1999240453839826</v>
      </c>
      <c r="BE54" s="3">
        <f t="shared" si="24"/>
        <v>1.6228350094858719</v>
      </c>
      <c r="BG54" s="3">
        <f t="shared" si="27"/>
        <v>5.4620711738429979E-3</v>
      </c>
      <c r="BH54" s="3">
        <f t="shared" si="28"/>
        <v>6.6234944532309933E-3</v>
      </c>
      <c r="BI54" s="3">
        <f t="shared" si="29"/>
        <v>2.9530491726075634E-3</v>
      </c>
      <c r="BJ54" s="3">
        <f t="shared" si="30"/>
        <v>3.7349651089358673E-4</v>
      </c>
    </row>
    <row r="55" spans="1:62" ht="13.5" x14ac:dyDescent="0.2">
      <c r="A55" s="28">
        <v>44235</v>
      </c>
      <c r="B55" s="29">
        <v>240.45443700000001</v>
      </c>
      <c r="C55" s="29">
        <v>136.27448999999999</v>
      </c>
      <c r="D55" s="29">
        <v>3322.9399410000001</v>
      </c>
      <c r="E55" s="29">
        <v>2084.5200199999999</v>
      </c>
      <c r="F55" s="29">
        <v>863.419983</v>
      </c>
      <c r="G55" s="29">
        <v>2092.9099120000001</v>
      </c>
      <c r="H55" s="29">
        <v>266.57998700000002</v>
      </c>
      <c r="I55" s="29">
        <v>144.261505</v>
      </c>
      <c r="J55" s="29">
        <v>237.41999799999999</v>
      </c>
      <c r="K55" s="29">
        <v>137.69151299999999</v>
      </c>
      <c r="L55" s="26">
        <v>3915.59</v>
      </c>
      <c r="N55" s="3">
        <f t="shared" si="5"/>
        <v>5.3471309044655782E-3</v>
      </c>
      <c r="O55" s="3">
        <f t="shared" si="6"/>
        <v>-6.5955155709477055E-3</v>
      </c>
      <c r="P55" s="3">
        <f t="shared" si="7"/>
        <v>-5.4134421769172839E-3</v>
      </c>
      <c r="Q55" s="3">
        <f t="shared" si="8"/>
        <v>-4.3895862416438681E-3</v>
      </c>
      <c r="R55" s="3">
        <f t="shared" si="9"/>
        <v>-1.6300348017664688E-2</v>
      </c>
      <c r="S55" s="3">
        <f t="shared" si="10"/>
        <v>-4.5014237303354033E-3</v>
      </c>
      <c r="T55" s="3">
        <f t="shared" si="11"/>
        <v>1.0708551504646929E-2</v>
      </c>
      <c r="U55" s="3">
        <f t="shared" si="12"/>
        <v>-1.2229338643790961E-2</v>
      </c>
      <c r="V55" s="3">
        <f t="shared" si="13"/>
        <v>1.0433153483329299E-2</v>
      </c>
      <c r="W55" s="3">
        <f t="shared" si="14"/>
        <v>-4.0041272160351686E-3</v>
      </c>
      <c r="X55" s="3">
        <f t="shared" si="15"/>
        <v>-1.1141179817578345E-3</v>
      </c>
      <c r="Z55" s="6" t="s">
        <v>12</v>
      </c>
      <c r="AA55" s="6">
        <v>1</v>
      </c>
      <c r="AB55" s="6">
        <v>2</v>
      </c>
      <c r="AC55" s="6">
        <v>3</v>
      </c>
      <c r="AD55" s="6">
        <v>4</v>
      </c>
      <c r="AE55" s="6">
        <v>5</v>
      </c>
      <c r="AF55" s="6">
        <v>6</v>
      </c>
      <c r="AG55" s="6">
        <v>7</v>
      </c>
      <c r="AH55" s="6">
        <v>8</v>
      </c>
      <c r="AI55" s="6">
        <v>9</v>
      </c>
      <c r="AJ55" s="6">
        <v>10</v>
      </c>
      <c r="AK55" s="3"/>
      <c r="AL55" s="8"/>
      <c r="AW55" s="3"/>
      <c r="AY55" s="5"/>
      <c r="AZ55" s="28">
        <v>44231</v>
      </c>
      <c r="BA55" s="3">
        <f t="shared" si="33"/>
        <v>50</v>
      </c>
      <c r="BB55" s="3">
        <f t="shared" si="21"/>
        <v>1.1784850396780733</v>
      </c>
      <c r="BC55" s="3">
        <f t="shared" si="22"/>
        <v>1.1462657394960853</v>
      </c>
      <c r="BD55" s="3">
        <f t="shared" si="23"/>
        <v>2.2064301309332519</v>
      </c>
      <c r="BE55" s="3">
        <f t="shared" si="24"/>
        <v>1.6234412459062173</v>
      </c>
      <c r="BG55" s="3">
        <f t="shared" si="27"/>
        <v>3.7865247669458934E-3</v>
      </c>
      <c r="BH55" s="3">
        <f t="shared" si="28"/>
        <v>3.8079775959821306E-3</v>
      </c>
      <c r="BI55" s="3">
        <f t="shared" si="29"/>
        <v>2.9177202401528086E-3</v>
      </c>
      <c r="BJ55" s="3">
        <f t="shared" si="30"/>
        <v>1.766043203111743E-3</v>
      </c>
    </row>
    <row r="56" spans="1:62" ht="13.5" x14ac:dyDescent="0.2">
      <c r="A56" s="28">
        <v>44236</v>
      </c>
      <c r="B56" s="29">
        <v>241.74362199999999</v>
      </c>
      <c r="C56" s="29">
        <v>135.378647</v>
      </c>
      <c r="D56" s="29">
        <v>3305</v>
      </c>
      <c r="E56" s="29">
        <v>2075.389893</v>
      </c>
      <c r="F56" s="29">
        <v>849.46002199999998</v>
      </c>
      <c r="G56" s="29">
        <v>2083.51001</v>
      </c>
      <c r="H56" s="29">
        <v>269.45001200000002</v>
      </c>
      <c r="I56" s="29">
        <v>142.508026</v>
      </c>
      <c r="J56" s="29">
        <v>239.91000399999999</v>
      </c>
      <c r="K56" s="29">
        <v>137.14128099999999</v>
      </c>
      <c r="L56" s="26">
        <v>3911.23</v>
      </c>
      <c r="N56" s="3">
        <f t="shared" si="5"/>
        <v>-3.9046882764146194E-3</v>
      </c>
      <c r="O56" s="3">
        <f t="shared" si="6"/>
        <v>-4.5689471537032397E-3</v>
      </c>
      <c r="P56" s="3">
        <f t="shared" si="7"/>
        <v>-5.5889391403678287E-3</v>
      </c>
      <c r="Q56" s="3">
        <f t="shared" si="8"/>
        <v>5.3293897152751962E-3</v>
      </c>
      <c r="R56" s="3">
        <f t="shared" si="9"/>
        <v>-5.3982220751778859E-2</v>
      </c>
      <c r="S56" s="3">
        <f t="shared" si="10"/>
        <v>5.6808890525717375E-3</v>
      </c>
      <c r="T56" s="3">
        <f t="shared" si="11"/>
        <v>8.9411035634258985E-3</v>
      </c>
      <c r="U56" s="3">
        <f t="shared" si="12"/>
        <v>3.4522440394556111E-2</v>
      </c>
      <c r="V56" s="3">
        <f t="shared" si="13"/>
        <v>4.165641981460661E-5</v>
      </c>
      <c r="W56" s="3">
        <f t="shared" si="14"/>
        <v>5.7306214810742741E-4</v>
      </c>
      <c r="X56" s="3">
        <f t="shared" si="15"/>
        <v>-3.4521954387729651E-4</v>
      </c>
      <c r="Z56" s="6" t="s">
        <v>10</v>
      </c>
      <c r="AA56" s="6">
        <v>7.4379385829629037</v>
      </c>
      <c r="AB56" s="6">
        <v>1.244606911089337</v>
      </c>
      <c r="AC56" s="6">
        <v>0.80230098587713883</v>
      </c>
      <c r="AD56" s="6">
        <v>0.26438122167778982</v>
      </c>
      <c r="AE56" s="6">
        <v>0.12935953706302797</v>
      </c>
      <c r="AF56" s="6">
        <v>5.3377034784761024E-2</v>
      </c>
      <c r="AG56" s="6">
        <v>3.2124942322157797E-2</v>
      </c>
      <c r="AH56" s="6">
        <v>2.631462917589503E-2</v>
      </c>
      <c r="AI56" s="6">
        <v>8.8226317564163298E-3</v>
      </c>
      <c r="AJ56" s="6">
        <v>7.735232905708711E-4</v>
      </c>
      <c r="AK56" s="3"/>
      <c r="AL56" s="8"/>
      <c r="AW56" s="3"/>
      <c r="AY56" s="5"/>
      <c r="AZ56" s="28">
        <v>44232</v>
      </c>
      <c r="BA56" s="3">
        <f t="shared" si="33"/>
        <v>51</v>
      </c>
      <c r="BB56" s="3">
        <f t="shared" si="21"/>
        <v>1.1829558615653919</v>
      </c>
      <c r="BC56" s="3">
        <f t="shared" si="22"/>
        <v>1.150639015134328</v>
      </c>
      <c r="BD56" s="3">
        <f t="shared" si="23"/>
        <v>2.2128772776962977</v>
      </c>
      <c r="BE56" s="3">
        <f t="shared" si="24"/>
        <v>1.6263108464576408</v>
      </c>
      <c r="BG56" s="3">
        <f t="shared" si="27"/>
        <v>8.3082655187046769E-3</v>
      </c>
      <c r="BH56" s="3">
        <f t="shared" si="28"/>
        <v>6.0376544944537808E-3</v>
      </c>
      <c r="BI56" s="3">
        <f t="shared" si="29"/>
        <v>1.1897319279769888E-2</v>
      </c>
      <c r="BJ56" s="3">
        <f t="shared" si="30"/>
        <v>1.5378164732439744E-2</v>
      </c>
    </row>
    <row r="57" spans="1:62" ht="13.5" x14ac:dyDescent="0.2">
      <c r="A57" s="28">
        <v>44237</v>
      </c>
      <c r="B57" s="29">
        <v>240.80152899999999</v>
      </c>
      <c r="C57" s="29">
        <v>134.76151999999999</v>
      </c>
      <c r="D57" s="29">
        <v>3286.580078</v>
      </c>
      <c r="E57" s="29">
        <v>2086.4799800000001</v>
      </c>
      <c r="F57" s="29">
        <v>804.82000700000003</v>
      </c>
      <c r="G57" s="29">
        <v>2095.3798830000001</v>
      </c>
      <c r="H57" s="29">
        <v>271.86999500000002</v>
      </c>
      <c r="I57" s="29">
        <v>147.51365699999999</v>
      </c>
      <c r="J57" s="29">
        <v>239.91999799999999</v>
      </c>
      <c r="K57" s="29">
        <v>137.21989400000001</v>
      </c>
      <c r="L57" s="26">
        <v>3909.88</v>
      </c>
      <c r="N57" s="3">
        <f t="shared" si="5"/>
        <v>6.8539598733490994E-3</v>
      </c>
      <c r="O57" s="3">
        <f t="shared" si="6"/>
        <v>-1.922075160956884E-3</v>
      </c>
      <c r="P57" s="3">
        <f t="shared" si="7"/>
        <v>-7.4672137736889561E-3</v>
      </c>
      <c r="Q57" s="3">
        <f t="shared" si="8"/>
        <v>1.0873749396050352E-3</v>
      </c>
      <c r="R57" s="3">
        <f t="shared" si="9"/>
        <v>8.4628413684012561E-3</v>
      </c>
      <c r="S57" s="3">
        <f t="shared" si="10"/>
        <v>2.4336777624662324E-4</v>
      </c>
      <c r="T57" s="3">
        <f t="shared" si="11"/>
        <v>-5.4585757662440259E-3</v>
      </c>
      <c r="U57" s="3">
        <f t="shared" si="12"/>
        <v>3.2420020071294547E-2</v>
      </c>
      <c r="V57" s="3">
        <f t="shared" si="13"/>
        <v>-6.6712395042154739E-4</v>
      </c>
      <c r="W57" s="3">
        <f t="shared" si="14"/>
        <v>-2.7964607173135174E-3</v>
      </c>
      <c r="X57" s="3">
        <f t="shared" si="15"/>
        <v>1.6610747648429303E-3</v>
      </c>
      <c r="Z57" s="6" t="s">
        <v>32</v>
      </c>
      <c r="AA57" s="3">
        <v>0.35905946976366493</v>
      </c>
      <c r="AB57" s="3">
        <v>0.11802777816220618</v>
      </c>
      <c r="AC57" s="3">
        <v>-6.5643682102231135E-2</v>
      </c>
      <c r="AD57" s="3">
        <v>0.14517829881679614</v>
      </c>
      <c r="AE57" s="3">
        <v>-0.11980628581788716</v>
      </c>
      <c r="AF57" s="3">
        <v>0.27744402388589057</v>
      </c>
      <c r="AG57" s="3">
        <v>0.24196165065958145</v>
      </c>
      <c r="AH57" s="3">
        <v>-0.22285160384972916</v>
      </c>
      <c r="AI57" s="3">
        <v>0.79316056766485665</v>
      </c>
      <c r="AJ57" s="3">
        <v>5.5849914678855195E-2</v>
      </c>
      <c r="AL57" s="8"/>
      <c r="AW57" s="3"/>
      <c r="AY57" s="5"/>
      <c r="AZ57" s="28">
        <v>44235</v>
      </c>
      <c r="BA57" s="3">
        <f t="shared" si="33"/>
        <v>52</v>
      </c>
      <c r="BB57" s="3">
        <f t="shared" si="21"/>
        <v>1.1928251143760251</v>
      </c>
      <c r="BC57" s="3">
        <f t="shared" si="22"/>
        <v>1.1576071905055019</v>
      </c>
      <c r="BD57" s="3">
        <f t="shared" si="23"/>
        <v>2.2393618203276904</v>
      </c>
      <c r="BE57" s="3">
        <f t="shared" si="24"/>
        <v>1.6515138135694032</v>
      </c>
      <c r="BG57" s="3">
        <f t="shared" si="27"/>
        <v>-3.6268281644157036E-3</v>
      </c>
      <c r="BH57" s="3">
        <f t="shared" si="28"/>
        <v>-1.404250571246738E-3</v>
      </c>
      <c r="BI57" s="3">
        <f t="shared" si="29"/>
        <v>-9.1251877446996005E-3</v>
      </c>
      <c r="BJ57" s="3">
        <f t="shared" si="30"/>
        <v>-1.5080708266690696E-2</v>
      </c>
    </row>
    <row r="58" spans="1:62" ht="13.5" x14ac:dyDescent="0.2">
      <c r="A58" s="28">
        <v>44238</v>
      </c>
      <c r="B58" s="29">
        <v>242.45764199999999</v>
      </c>
      <c r="C58" s="29">
        <v>134.502747</v>
      </c>
      <c r="D58" s="29">
        <v>3262.1298830000001</v>
      </c>
      <c r="E58" s="29">
        <v>2088.75</v>
      </c>
      <c r="F58" s="29">
        <v>811.65997300000004</v>
      </c>
      <c r="G58" s="29">
        <v>2095.889893</v>
      </c>
      <c r="H58" s="29">
        <v>270.39001500000001</v>
      </c>
      <c r="I58" s="29">
        <v>152.37441999999999</v>
      </c>
      <c r="J58" s="29">
        <v>239.759995</v>
      </c>
      <c r="K58" s="29">
        <v>136.83670000000001</v>
      </c>
      <c r="L58" s="26">
        <v>3916.38</v>
      </c>
      <c r="N58" s="3">
        <f t="shared" si="5"/>
        <v>2.0430687450276818E-3</v>
      </c>
      <c r="O58" s="3">
        <f t="shared" si="6"/>
        <v>1.7743069314452599E-3</v>
      </c>
      <c r="P58" s="3">
        <f t="shared" si="7"/>
        <v>4.7646755415169835E-3</v>
      </c>
      <c r="Q58" s="3">
        <f t="shared" si="8"/>
        <v>3.0020859954600853E-3</v>
      </c>
      <c r="R58" s="3">
        <f t="shared" si="9"/>
        <v>5.4798968516706313E-3</v>
      </c>
      <c r="S58" s="3">
        <f t="shared" si="10"/>
        <v>3.9143926172201691E-3</v>
      </c>
      <c r="T58" s="3">
        <f t="shared" si="11"/>
        <v>4.0668157468516582E-4</v>
      </c>
      <c r="U58" s="3">
        <f t="shared" si="12"/>
        <v>-1.9165238676207712E-2</v>
      </c>
      <c r="V58" s="3">
        <f t="shared" si="13"/>
        <v>1.1198375034958449E-2</v>
      </c>
      <c r="W58" s="3">
        <f t="shared" si="14"/>
        <v>1.4116861979471132E-2</v>
      </c>
      <c r="X58" s="3">
        <f t="shared" si="15"/>
        <v>4.6999211490260486E-3</v>
      </c>
      <c r="Z58" s="6" t="s">
        <v>33</v>
      </c>
      <c r="AA58" s="3">
        <v>0.31862902532492482</v>
      </c>
      <c r="AB58" s="3">
        <v>0.28643313854509023</v>
      </c>
      <c r="AC58" s="3">
        <v>0.25305848653998647</v>
      </c>
      <c r="AD58" s="3">
        <v>0.32741274017740529</v>
      </c>
      <c r="AE58" s="3">
        <v>0.66764438836106588</v>
      </c>
      <c r="AF58" s="3">
        <v>3.9411300582419338E-2</v>
      </c>
      <c r="AG58" s="3">
        <v>0.19657690491332111</v>
      </c>
      <c r="AH58" s="3">
        <v>0.38879944243694758</v>
      </c>
      <c r="AI58" s="3">
        <v>-8.9813270694796388E-2</v>
      </c>
      <c r="AJ58" s="3">
        <v>4.2085415778580597E-3</v>
      </c>
      <c r="AL58" s="8"/>
      <c r="AW58" s="3"/>
      <c r="AY58" s="5"/>
      <c r="AZ58" s="28">
        <v>44236</v>
      </c>
      <c r="BA58" s="3">
        <f t="shared" si="33"/>
        <v>53</v>
      </c>
      <c r="BB58" s="3">
        <f t="shared" si="21"/>
        <v>1.1885067783209704</v>
      </c>
      <c r="BC58" s="3">
        <f t="shared" si="22"/>
        <v>1.1559827607670863</v>
      </c>
      <c r="BD58" s="3">
        <f t="shared" si="23"/>
        <v>2.219020175106988</v>
      </c>
      <c r="BE58" s="3">
        <f t="shared" si="24"/>
        <v>1.6267946750896476</v>
      </c>
      <c r="BG58" s="3">
        <f t="shared" si="27"/>
        <v>-3.8536733051811982E-3</v>
      </c>
      <c r="BH58" s="3">
        <f t="shared" si="28"/>
        <v>-1.057890144314575E-3</v>
      </c>
      <c r="BI58" s="3">
        <f t="shared" si="29"/>
        <v>-1.4472831520524056E-2</v>
      </c>
      <c r="BJ58" s="3">
        <f t="shared" si="30"/>
        <v>-2.8167085942070149E-2</v>
      </c>
    </row>
    <row r="59" spans="1:62" ht="13.5" x14ac:dyDescent="0.2">
      <c r="A59" s="28">
        <v>44239</v>
      </c>
      <c r="B59" s="29">
        <v>242.953506</v>
      </c>
      <c r="C59" s="29">
        <v>134.74160800000001</v>
      </c>
      <c r="D59" s="29">
        <v>3277.709961</v>
      </c>
      <c r="E59" s="29">
        <v>2095.030029</v>
      </c>
      <c r="F59" s="29">
        <v>816.11999500000002</v>
      </c>
      <c r="G59" s="29">
        <v>2104.110107</v>
      </c>
      <c r="H59" s="29">
        <v>270.5</v>
      </c>
      <c r="I59" s="29">
        <v>149.481934</v>
      </c>
      <c r="J59" s="29">
        <v>242.46000699999999</v>
      </c>
      <c r="K59" s="29">
        <v>138.782104</v>
      </c>
      <c r="L59" s="26">
        <v>3934.83</v>
      </c>
      <c r="N59" s="3">
        <f t="shared" si="5"/>
        <v>-5.2795122081296343E-3</v>
      </c>
      <c r="O59" s="3">
        <f t="shared" si="6"/>
        <v>-1.6234830742666382E-2</v>
      </c>
      <c r="P59" s="3">
        <f t="shared" si="7"/>
        <v>-2.6761784928396965E-3</v>
      </c>
      <c r="Q59" s="3">
        <f t="shared" si="8"/>
        <v>7.4517358864610306E-3</v>
      </c>
      <c r="R59" s="3">
        <f t="shared" si="9"/>
        <v>-2.4685903703606061E-2</v>
      </c>
      <c r="S59" s="3">
        <f t="shared" si="10"/>
        <v>8.419241812378131E-3</v>
      </c>
      <c r="T59" s="3">
        <f t="shared" si="11"/>
        <v>1.2746516706110281E-2</v>
      </c>
      <c r="U59" s="3">
        <f t="shared" si="12"/>
        <v>2.4364594539405246E-2</v>
      </c>
      <c r="V59" s="3">
        <f t="shared" si="13"/>
        <v>1.156363385735229E-2</v>
      </c>
      <c r="W59" s="3">
        <f t="shared" si="14"/>
        <v>2.3785740357648834E-2</v>
      </c>
      <c r="X59" s="3">
        <f t="shared" si="15"/>
        <v>-5.6943700997991403E-4</v>
      </c>
      <c r="Z59" s="6" t="s">
        <v>34</v>
      </c>
      <c r="AA59" s="3">
        <v>0.26620673935199707</v>
      </c>
      <c r="AB59" s="3">
        <v>0.11003817714763245</v>
      </c>
      <c r="AC59" s="3">
        <v>0.63936509429004829</v>
      </c>
      <c r="AD59" s="3">
        <v>-0.69807565121825566</v>
      </c>
      <c r="AE59" s="3">
        <v>-3.729725642767321E-2</v>
      </c>
      <c r="AF59" s="3">
        <v>0.11379100898567579</v>
      </c>
      <c r="AG59" s="3">
        <v>-5.5904432850847417E-2</v>
      </c>
      <c r="AH59" s="3">
        <v>-4.5087218185471678E-2</v>
      </c>
      <c r="AI59" s="3">
        <v>5.3896457843909951E-3</v>
      </c>
      <c r="AJ59" s="3">
        <v>-3.7437183020626583E-2</v>
      </c>
      <c r="AL59" s="8"/>
      <c r="AW59" s="3"/>
      <c r="AY59" s="5"/>
      <c r="AZ59" s="28">
        <v>44237</v>
      </c>
      <c r="BA59" s="3">
        <f t="shared" si="33"/>
        <v>54</v>
      </c>
      <c r="BB59" s="3">
        <f t="shared" si="21"/>
        <v>1.1839354752878524</v>
      </c>
      <c r="BC59" s="3">
        <f t="shared" si="22"/>
        <v>1.1547605046178291</v>
      </c>
      <c r="BD59" s="3">
        <f t="shared" si="23"/>
        <v>2.1871359539968807</v>
      </c>
      <c r="BE59" s="3">
        <f t="shared" si="24"/>
        <v>1.5816119300333455</v>
      </c>
      <c r="BG59" s="3">
        <f t="shared" si="27"/>
        <v>3.4538935686847295E-3</v>
      </c>
      <c r="BH59" s="3">
        <f t="shared" si="28"/>
        <v>1.7538460404442769E-3</v>
      </c>
      <c r="BI59" s="3">
        <f t="shared" si="29"/>
        <v>7.5167906602383429E-3</v>
      </c>
      <c r="BJ59" s="3">
        <f t="shared" si="30"/>
        <v>1.1354809210684493E-2</v>
      </c>
    </row>
    <row r="60" spans="1:62" ht="13.5" x14ac:dyDescent="0.2">
      <c r="A60" s="28">
        <v>44243</v>
      </c>
      <c r="B60" s="29">
        <v>241.67420999999999</v>
      </c>
      <c r="C60" s="29">
        <v>132.57176200000001</v>
      </c>
      <c r="D60" s="29">
        <v>3268.9499510000001</v>
      </c>
      <c r="E60" s="29">
        <v>2110.6999510000001</v>
      </c>
      <c r="F60" s="29">
        <v>796.21997099999999</v>
      </c>
      <c r="G60" s="29">
        <v>2121.8999020000001</v>
      </c>
      <c r="H60" s="29">
        <v>273.97000100000002</v>
      </c>
      <c r="I60" s="29">
        <v>153.16873200000001</v>
      </c>
      <c r="J60" s="29">
        <v>245.279999</v>
      </c>
      <c r="K60" s="29">
        <v>142.12271100000001</v>
      </c>
      <c r="L60" s="26">
        <v>3932.59</v>
      </c>
      <c r="N60" s="3">
        <f t="shared" si="5"/>
        <v>4.3501290634568729E-3</v>
      </c>
      <c r="O60" s="3">
        <f t="shared" si="6"/>
        <v>-1.7801509570310493E-2</v>
      </c>
      <c r="P60" s="3">
        <f t="shared" si="7"/>
        <v>1.2068379045472271E-2</v>
      </c>
      <c r="Q60" s="3">
        <f t="shared" si="8"/>
        <v>3.7453657472945679E-3</v>
      </c>
      <c r="R60" s="3">
        <f t="shared" si="9"/>
        <v>2.4210866346318668E-3</v>
      </c>
      <c r="S60" s="3">
        <f t="shared" si="10"/>
        <v>3.0163977399404948E-3</v>
      </c>
      <c r="T60" s="3">
        <f t="shared" si="11"/>
        <v>-1.4610587913620101E-3</v>
      </c>
      <c r="U60" s="3">
        <f t="shared" si="12"/>
        <v>-2.8064196951373573E-2</v>
      </c>
      <c r="V60" s="3">
        <f t="shared" si="13"/>
        <v>-1.2231260105828208E-4</v>
      </c>
      <c r="W60" s="3">
        <f t="shared" si="14"/>
        <v>3.1061375068862107E-3</v>
      </c>
      <c r="X60" s="3">
        <f t="shared" si="15"/>
        <v>-3.2045087202880161E-4</v>
      </c>
      <c r="Z60" s="6" t="s">
        <v>35</v>
      </c>
      <c r="AA60" s="3">
        <v>0.36128586586024669</v>
      </c>
      <c r="AB60" s="3">
        <v>-7.9488808952206128E-2</v>
      </c>
      <c r="AC60" s="3">
        <v>-7.1124722813182772E-2</v>
      </c>
      <c r="AD60" s="3">
        <v>0.16916011293326505</v>
      </c>
      <c r="AE60" s="3">
        <v>-1.4491988588083989E-2</v>
      </c>
      <c r="AF60" s="3">
        <v>0.28019902699655291</v>
      </c>
      <c r="AG60" s="3">
        <v>-3.4571614817689292E-2</v>
      </c>
      <c r="AH60" s="3">
        <v>-0.39052540494852611</v>
      </c>
      <c r="AI60" s="3">
        <v>-0.33906167126174963</v>
      </c>
      <c r="AJ60" s="3">
        <v>-0.69432741882698878</v>
      </c>
      <c r="AL60" s="8"/>
      <c r="AW60" s="3"/>
      <c r="AY60" s="5"/>
      <c r="AZ60" s="28">
        <v>44238</v>
      </c>
      <c r="BA60" s="3">
        <f t="shared" si="33"/>
        <v>55</v>
      </c>
      <c r="BB60" s="3">
        <f t="shared" si="21"/>
        <v>1.1880317323575111</v>
      </c>
      <c r="BC60" s="3">
        <f t="shared" si="22"/>
        <v>1.1567875538030119</v>
      </c>
      <c r="BD60" s="3">
        <f t="shared" si="23"/>
        <v>2.2036381411510226</v>
      </c>
      <c r="BE60" s="3">
        <f t="shared" si="24"/>
        <v>1.5996731787054097</v>
      </c>
      <c r="BG60" s="3">
        <f t="shared" si="27"/>
        <v>2.8978684694995127E-3</v>
      </c>
      <c r="BH60" s="3">
        <f t="shared" si="28"/>
        <v>4.2112419016626769E-3</v>
      </c>
      <c r="BI60" s="3">
        <f t="shared" si="29"/>
        <v>4.4366949513562016E-4</v>
      </c>
      <c r="BJ60" s="3">
        <f t="shared" si="30"/>
        <v>-1.484999719940607E-3</v>
      </c>
    </row>
    <row r="61" spans="1:62" ht="13.5" x14ac:dyDescent="0.2">
      <c r="A61" s="28">
        <v>44244</v>
      </c>
      <c r="B61" s="29">
        <v>242.727814</v>
      </c>
      <c r="C61" s="29">
        <v>130.23266599999999</v>
      </c>
      <c r="D61" s="29">
        <v>3308.639893</v>
      </c>
      <c r="E61" s="29">
        <v>2118.6201169999999</v>
      </c>
      <c r="F61" s="29">
        <v>798.15002400000003</v>
      </c>
      <c r="G61" s="29">
        <v>2128.3100589999999</v>
      </c>
      <c r="H61" s="29">
        <v>273.57000699999998</v>
      </c>
      <c r="I61" s="29">
        <v>148.92993200000001</v>
      </c>
      <c r="J61" s="29">
        <v>245.25</v>
      </c>
      <c r="K61" s="29">
        <v>142.56485000000001</v>
      </c>
      <c r="L61" s="26">
        <v>3931.33</v>
      </c>
      <c r="N61" s="3">
        <f t="shared" si="5"/>
        <v>-1.68037808726778E-3</v>
      </c>
      <c r="O61" s="3">
        <f t="shared" si="6"/>
        <v>-8.6741391167880193E-3</v>
      </c>
      <c r="P61" s="3">
        <f t="shared" si="7"/>
        <v>5.9034286549170924E-3</v>
      </c>
      <c r="Q61" s="3">
        <f t="shared" si="8"/>
        <v>-6.0647693206550227E-3</v>
      </c>
      <c r="R61" s="3">
        <f t="shared" si="9"/>
        <v>-1.3585595293599179E-2</v>
      </c>
      <c r="S61" s="3">
        <f t="shared" si="10"/>
        <v>-5.2338274249131532E-3</v>
      </c>
      <c r="T61" s="3">
        <f t="shared" si="11"/>
        <v>-1.5397356757484857E-2</v>
      </c>
      <c r="U61" s="3">
        <f t="shared" si="12"/>
        <v>-5.1792344819950086E-3</v>
      </c>
      <c r="V61" s="3">
        <f t="shared" si="13"/>
        <v>-7.1611559228279527E-3</v>
      </c>
      <c r="W61" s="3">
        <f t="shared" si="14"/>
        <v>3.3712303575986566E-3</v>
      </c>
      <c r="X61" s="3">
        <f t="shared" si="15"/>
        <v>-4.4255868696270202E-3</v>
      </c>
      <c r="Z61" s="6" t="s">
        <v>36</v>
      </c>
      <c r="AA61" s="3">
        <v>0.17789261597570763</v>
      </c>
      <c r="AB61" s="3">
        <v>0.71462846355421861</v>
      </c>
      <c r="AC61" s="3">
        <v>-0.3629725496756282</v>
      </c>
      <c r="AD61" s="3">
        <v>-0.19758859554884842</v>
      </c>
      <c r="AE61" s="3">
        <v>6.1817831042965267E-2</v>
      </c>
      <c r="AF61" s="3">
        <v>-0.42945454172532987</v>
      </c>
      <c r="AG61" s="3">
        <v>-0.13905540551866519</v>
      </c>
      <c r="AH61" s="3">
        <v>-0.27530269159003701</v>
      </c>
      <c r="AI61" s="3">
        <v>-5.7166465304844101E-2</v>
      </c>
      <c r="AJ61" s="3">
        <v>1.4880226845180854E-2</v>
      </c>
      <c r="AL61" s="8"/>
      <c r="AW61" s="3"/>
      <c r="AY61" s="5"/>
      <c r="AZ61" s="28">
        <v>44239</v>
      </c>
      <c r="BA61" s="3">
        <f t="shared" si="33"/>
        <v>56</v>
      </c>
      <c r="BB61" s="3">
        <f t="shared" si="21"/>
        <v>1.1914794852098665</v>
      </c>
      <c r="BC61" s="3">
        <f t="shared" si="22"/>
        <v>1.161669337993289</v>
      </c>
      <c r="BD61" s="3">
        <f t="shared" si="23"/>
        <v>2.2046160450896011</v>
      </c>
      <c r="BE61" s="3">
        <f t="shared" si="24"/>
        <v>1.5972994274292469</v>
      </c>
      <c r="BG61" s="3">
        <f t="shared" si="27"/>
        <v>2.8837078005905176E-3</v>
      </c>
      <c r="BH61" s="3">
        <f t="shared" si="28"/>
        <v>4.7163472962446027E-3</v>
      </c>
      <c r="BI61" s="3">
        <f t="shared" si="29"/>
        <v>-6.8370508743020369E-3</v>
      </c>
      <c r="BJ61" s="3">
        <f t="shared" si="30"/>
        <v>-1.8076448061537163E-2</v>
      </c>
    </row>
    <row r="62" spans="1:62" ht="13.5" x14ac:dyDescent="0.2">
      <c r="A62" s="28">
        <v>44245</v>
      </c>
      <c r="B62" s="29">
        <v>242.32028199999999</v>
      </c>
      <c r="C62" s="29">
        <v>129.10789500000001</v>
      </c>
      <c r="D62" s="29">
        <v>3328.2299800000001</v>
      </c>
      <c r="E62" s="29">
        <v>2105.8100589999999</v>
      </c>
      <c r="F62" s="29">
        <v>787.38000499999998</v>
      </c>
      <c r="G62" s="29">
        <v>2117.1999510000001</v>
      </c>
      <c r="H62" s="29">
        <v>269.39001500000001</v>
      </c>
      <c r="I62" s="29">
        <v>148.160583</v>
      </c>
      <c r="J62" s="29">
        <v>243.5</v>
      </c>
      <c r="K62" s="29">
        <v>143.04628</v>
      </c>
      <c r="L62" s="26">
        <v>3913.97</v>
      </c>
      <c r="N62" s="3">
        <f t="shared" si="5"/>
        <v>-1.1634732506791305E-2</v>
      </c>
      <c r="O62" s="3">
        <f t="shared" si="6"/>
        <v>1.2328668220328402E-3</v>
      </c>
      <c r="P62" s="3">
        <f t="shared" si="7"/>
        <v>-2.3816428655939244E-2</v>
      </c>
      <c r="Q62" s="3">
        <f t="shared" si="8"/>
        <v>-8.1056651611944672E-3</v>
      </c>
      <c r="R62" s="3">
        <f t="shared" si="9"/>
        <v>-7.7518008427427815E-3</v>
      </c>
      <c r="S62" s="3">
        <f t="shared" si="10"/>
        <v>-7.6144342040582041E-3</v>
      </c>
      <c r="T62" s="3">
        <f t="shared" si="11"/>
        <v>-2.9496504397153442E-2</v>
      </c>
      <c r="U62" s="3">
        <f t="shared" si="12"/>
        <v>6.5534532667426669E-3</v>
      </c>
      <c r="V62" s="3">
        <f t="shared" si="13"/>
        <v>-6.7992184448867699E-3</v>
      </c>
      <c r="W62" s="3">
        <f t="shared" si="14"/>
        <v>1.6552944140540461E-2</v>
      </c>
      <c r="X62" s="3">
        <f t="shared" si="15"/>
        <v>-1.8566165820490526E-3</v>
      </c>
      <c r="Z62" s="6" t="s">
        <v>37</v>
      </c>
      <c r="AA62" s="3">
        <v>0.36165188990759928</v>
      </c>
      <c r="AB62" s="3">
        <v>-0.10886302332211925</v>
      </c>
      <c r="AC62" s="3">
        <v>-4.0838412763622274E-2</v>
      </c>
      <c r="AD62" s="3">
        <v>0.10601816413827098</v>
      </c>
      <c r="AE62" s="3">
        <v>-3.8610941334725826E-2</v>
      </c>
      <c r="AF62" s="3">
        <v>0.24384796808007203</v>
      </c>
      <c r="AG62" s="3">
        <v>-9.3470669482381922E-3</v>
      </c>
      <c r="AH62" s="3">
        <v>-0.33328485529979152</v>
      </c>
      <c r="AI62" s="3">
        <v>-0.40252398889704699</v>
      </c>
      <c r="AJ62" s="3">
        <v>0.71435618930423539</v>
      </c>
      <c r="AL62" s="8"/>
      <c r="AW62" s="3"/>
      <c r="AY62" s="5"/>
      <c r="AZ62" s="28">
        <v>44243</v>
      </c>
      <c r="BA62" s="3">
        <f t="shared" si="33"/>
        <v>57</v>
      </c>
      <c r="BB62" s="3">
        <f t="shared" si="21"/>
        <v>1.1949203226961254</v>
      </c>
      <c r="BC62" s="3">
        <f t="shared" si="22"/>
        <v>1.1671611144172203</v>
      </c>
      <c r="BD62" s="3">
        <f t="shared" si="23"/>
        <v>2.1895943834792608</v>
      </c>
      <c r="BE62" s="3">
        <f t="shared" si="24"/>
        <v>1.5686853270927583</v>
      </c>
      <c r="BG62" s="3">
        <f t="shared" si="27"/>
        <v>-1.6838422263664751E-3</v>
      </c>
      <c r="BH62" s="3">
        <f t="shared" si="28"/>
        <v>-5.6810285332361448E-4</v>
      </c>
      <c r="BI62" s="3">
        <f t="shared" si="29"/>
        <v>-3.9299471783832461E-3</v>
      </c>
      <c r="BJ62" s="3">
        <f t="shared" si="30"/>
        <v>-5.6790619494524151E-3</v>
      </c>
    </row>
    <row r="63" spans="1:62" ht="13.5" x14ac:dyDescent="0.2">
      <c r="A63" s="28">
        <v>44246</v>
      </c>
      <c r="B63" s="29">
        <v>239.51728800000001</v>
      </c>
      <c r="C63" s="29">
        <v>129.267166</v>
      </c>
      <c r="D63" s="29">
        <v>3249.8999020000001</v>
      </c>
      <c r="E63" s="29">
        <v>2088.8100589999999</v>
      </c>
      <c r="F63" s="29">
        <v>781.29998799999998</v>
      </c>
      <c r="G63" s="29">
        <v>2101.139893</v>
      </c>
      <c r="H63" s="29">
        <v>261.55999800000001</v>
      </c>
      <c r="I63" s="29">
        <v>149.13473500000001</v>
      </c>
      <c r="J63" s="29">
        <v>241.85000600000001</v>
      </c>
      <c r="K63" s="29">
        <v>145.43382299999999</v>
      </c>
      <c r="L63" s="26">
        <v>3906.71</v>
      </c>
      <c r="N63" s="3">
        <f t="shared" si="5"/>
        <v>-2.7174195336662099E-2</v>
      </c>
      <c r="O63" s="3">
        <f t="shared" si="6"/>
        <v>-3.0252034147126888E-2</v>
      </c>
      <c r="P63" s="3">
        <f t="shared" si="7"/>
        <v>-2.1510325503511042E-2</v>
      </c>
      <c r="Q63" s="3">
        <f t="shared" si="8"/>
        <v>-1.667886343291285E-2</v>
      </c>
      <c r="R63" s="3">
        <f t="shared" si="9"/>
        <v>-8.9376186273759373E-2</v>
      </c>
      <c r="S63" s="3">
        <f t="shared" si="10"/>
        <v>-1.7407946971432896E-2</v>
      </c>
      <c r="T63" s="3">
        <f t="shared" si="11"/>
        <v>-4.7136879909741476E-3</v>
      </c>
      <c r="U63" s="3">
        <f t="shared" si="12"/>
        <v>-3.8987569972248816E-2</v>
      </c>
      <c r="V63" s="3">
        <f t="shared" si="13"/>
        <v>1.2818034072021648E-2</v>
      </c>
      <c r="W63" s="3">
        <f t="shared" si="14"/>
        <v>9.346756135279877E-3</v>
      </c>
      <c r="X63" s="3">
        <f t="shared" si="15"/>
        <v>-7.7629028925333757E-3</v>
      </c>
      <c r="Z63" s="6" t="s">
        <v>38</v>
      </c>
      <c r="AA63" s="3">
        <v>0.32079922042403514</v>
      </c>
      <c r="AB63" s="3">
        <v>-0.29915448444344378</v>
      </c>
      <c r="AC63" s="3">
        <v>0.29998879719820359</v>
      </c>
      <c r="AD63" s="3">
        <v>0.30823248553773563</v>
      </c>
      <c r="AE63" s="3">
        <v>-2.3743018056069431E-2</v>
      </c>
      <c r="AF63" s="3">
        <v>-0.56035250885572996</v>
      </c>
      <c r="AG63" s="3">
        <v>-0.51277763898857387</v>
      </c>
      <c r="AH63" s="3">
        <v>-9.6980559270067074E-2</v>
      </c>
      <c r="AI63" s="3">
        <v>0.18875432382369162</v>
      </c>
      <c r="AJ63" s="3">
        <v>7.8048225489682193E-3</v>
      </c>
      <c r="AL63" s="8"/>
      <c r="AW63" s="3"/>
      <c r="AY63" s="5"/>
      <c r="AZ63" s="28">
        <v>44244</v>
      </c>
      <c r="BA63" s="3">
        <f t="shared" si="33"/>
        <v>58</v>
      </c>
      <c r="BB63" s="3">
        <f t="shared" si="21"/>
        <v>1.1929099584427392</v>
      </c>
      <c r="BC63" s="3">
        <f t="shared" si="22"/>
        <v>1.1664982351674562</v>
      </c>
      <c r="BD63" s="3">
        <f t="shared" si="23"/>
        <v>2.1810062796605214</v>
      </c>
      <c r="BE63" s="3">
        <f t="shared" si="24"/>
        <v>1.5598019145415518</v>
      </c>
      <c r="BG63" s="3">
        <f t="shared" si="27"/>
        <v>-5.5323954134167321E-3</v>
      </c>
      <c r="BH63" s="3">
        <f t="shared" si="28"/>
        <v>-4.6566635478580429E-3</v>
      </c>
      <c r="BI63" s="3">
        <f t="shared" si="29"/>
        <v>-7.0038029430738377E-3</v>
      </c>
      <c r="BJ63" s="3">
        <f t="shared" si="30"/>
        <v>-8.7615848615493694E-3</v>
      </c>
    </row>
    <row r="64" spans="1:62" ht="13.5" x14ac:dyDescent="0.2">
      <c r="A64" s="28">
        <v>44249</v>
      </c>
      <c r="B64" s="29">
        <v>233.096237</v>
      </c>
      <c r="C64" s="29">
        <v>125.415131</v>
      </c>
      <c r="D64" s="29">
        <v>3180.73999</v>
      </c>
      <c r="E64" s="29">
        <v>2054.26001</v>
      </c>
      <c r="F64" s="29">
        <v>714.5</v>
      </c>
      <c r="G64" s="29">
        <v>2064.8798830000001</v>
      </c>
      <c r="H64" s="29">
        <v>260.32998700000002</v>
      </c>
      <c r="I64" s="29">
        <v>143.43222</v>
      </c>
      <c r="J64" s="29">
        <v>244.970001</v>
      </c>
      <c r="K64" s="29">
        <v>146.79953</v>
      </c>
      <c r="L64" s="26">
        <v>3876.5</v>
      </c>
      <c r="N64" s="3">
        <f t="shared" si="5"/>
        <v>-5.3016691016733349E-3</v>
      </c>
      <c r="O64" s="3">
        <f t="shared" si="6"/>
        <v>-1.1117995323118145E-3</v>
      </c>
      <c r="P64" s="3">
        <f t="shared" si="7"/>
        <v>4.3167100810520831E-3</v>
      </c>
      <c r="Q64" s="3">
        <f t="shared" si="8"/>
        <v>2.8485996829540399E-3</v>
      </c>
      <c r="R64" s="3">
        <f t="shared" si="9"/>
        <v>-2.2161141128226071E-2</v>
      </c>
      <c r="S64" s="3">
        <f t="shared" si="10"/>
        <v>2.8919749222318819E-3</v>
      </c>
      <c r="T64" s="3">
        <f t="shared" si="11"/>
        <v>2.1019790963107115E-2</v>
      </c>
      <c r="U64" s="3">
        <f t="shared" si="12"/>
        <v>-1.500136199768521E-2</v>
      </c>
      <c r="V64" s="3">
        <f t="shared" si="13"/>
        <v>2.2833771388800308E-3</v>
      </c>
      <c r="W64" s="3">
        <f t="shared" si="14"/>
        <v>7.9995987464101213E-3</v>
      </c>
      <c r="X64" s="3">
        <f t="shared" si="15"/>
        <v>1.2554994192235645E-3</v>
      </c>
      <c r="Z64" s="6" t="s">
        <v>39</v>
      </c>
      <c r="AA64" s="3">
        <v>0.34108061946308899</v>
      </c>
      <c r="AB64" s="3">
        <v>0.21919132631770485</v>
      </c>
      <c r="AC64" s="3">
        <v>-1.6119399169279177E-2</v>
      </c>
      <c r="AD64" s="3">
        <v>0.14902673557528207</v>
      </c>
      <c r="AE64" s="3">
        <v>-0.68202262871654218</v>
      </c>
      <c r="AF64" s="3">
        <v>4.4449888243994996E-3</v>
      </c>
      <c r="AG64" s="3">
        <v>2.3789693287587437E-2</v>
      </c>
      <c r="AH64" s="3">
        <v>0.56450984677017102</v>
      </c>
      <c r="AI64" s="3">
        <v>-0.16667908616419078</v>
      </c>
      <c r="AJ64" s="3">
        <v>-3.0927530925627715E-2</v>
      </c>
      <c r="AL64" s="8"/>
      <c r="AW64" s="3"/>
      <c r="AY64" s="5"/>
      <c r="AZ64" s="28">
        <v>44245</v>
      </c>
      <c r="BA64" s="3">
        <f t="shared" si="33"/>
        <v>59</v>
      </c>
      <c r="BB64" s="3">
        <f t="shared" si="21"/>
        <v>1.1863285311757332</v>
      </c>
      <c r="BC64" s="3">
        <f t="shared" si="22"/>
        <v>1.1610788732227377</v>
      </c>
      <c r="BD64" s="3">
        <f t="shared" si="23"/>
        <v>2.1657843095236764</v>
      </c>
      <c r="BE64" s="3">
        <f t="shared" si="24"/>
        <v>1.546195272617169</v>
      </c>
      <c r="BG64" s="3">
        <f t="shared" si="27"/>
        <v>-6.4485304716325308E-3</v>
      </c>
      <c r="BH64" s="3">
        <f t="shared" si="28"/>
        <v>-6.4847076438645773E-3</v>
      </c>
      <c r="BI64" s="3">
        <f t="shared" si="29"/>
        <v>-6.033272832454588E-3</v>
      </c>
      <c r="BJ64" s="3">
        <f t="shared" si="30"/>
        <v>-5.7765728352012161E-3</v>
      </c>
    </row>
    <row r="65" spans="1:62" ht="13.5" x14ac:dyDescent="0.2">
      <c r="A65" s="28">
        <v>44250</v>
      </c>
      <c r="B65" s="29">
        <v>231.863708</v>
      </c>
      <c r="C65" s="29">
        <v>125.275772</v>
      </c>
      <c r="D65" s="29">
        <v>3194.5</v>
      </c>
      <c r="E65" s="29">
        <v>2060.1201169999999</v>
      </c>
      <c r="F65" s="29">
        <v>698.84002699999996</v>
      </c>
      <c r="G65" s="29">
        <v>2070.860107</v>
      </c>
      <c r="H65" s="29">
        <v>265.85998499999999</v>
      </c>
      <c r="I65" s="29">
        <v>141.29660000000001</v>
      </c>
      <c r="J65" s="29">
        <v>245.529999</v>
      </c>
      <c r="K65" s="29">
        <v>147.978577</v>
      </c>
      <c r="L65" s="26">
        <v>3881.37</v>
      </c>
      <c r="N65" s="3">
        <f t="shared" si="5"/>
        <v>5.4722493265917426E-3</v>
      </c>
      <c r="O65" s="3">
        <f t="shared" si="6"/>
        <v>-4.0603243426847908E-3</v>
      </c>
      <c r="P65" s="3">
        <f t="shared" si="7"/>
        <v>-1.1007289522099634E-2</v>
      </c>
      <c r="Q65" s="3">
        <f t="shared" si="8"/>
        <v>1.1433686898119747E-2</v>
      </c>
      <c r="R65" s="3">
        <f t="shared" si="9"/>
        <v>5.9954367693775774E-2</v>
      </c>
      <c r="S65" s="3">
        <f t="shared" si="10"/>
        <v>1.1670626833557329E-2</v>
      </c>
      <c r="T65" s="3">
        <f t="shared" si="11"/>
        <v>-5.847148898503381E-3</v>
      </c>
      <c r="U65" s="3">
        <f t="shared" si="12"/>
        <v>2.4930658097055837E-2</v>
      </c>
      <c r="V65" s="3">
        <f t="shared" si="13"/>
        <v>1.1822470684806045E-2</v>
      </c>
      <c r="W65" s="3">
        <f t="shared" si="14"/>
        <v>1.7442099269132334E-2</v>
      </c>
      <c r="X65" s="3">
        <f t="shared" si="15"/>
        <v>1.1287715277782164E-2</v>
      </c>
      <c r="Z65" s="6" t="s">
        <v>40</v>
      </c>
      <c r="AA65" s="3">
        <v>0.31188113842510201</v>
      </c>
      <c r="AB65" s="3">
        <v>-0.40268053837426576</v>
      </c>
      <c r="AC65" s="3">
        <v>-0.20014024151429588</v>
      </c>
      <c r="AD65" s="3">
        <v>-0.25759546964034791</v>
      </c>
      <c r="AE65" s="3">
        <v>3.8683499284290455E-2</v>
      </c>
      <c r="AF65" s="3">
        <v>-0.46810564509087998</v>
      </c>
      <c r="AG65" s="3">
        <v>0.63767472234529887</v>
      </c>
      <c r="AH65" s="3">
        <v>3.2681161476733472E-2</v>
      </c>
      <c r="AI65" s="3">
        <v>-6.3432344107892946E-2</v>
      </c>
      <c r="AJ65" s="3">
        <v>-4.2742450341198952E-2</v>
      </c>
      <c r="AL65" s="8"/>
      <c r="AW65" s="3"/>
      <c r="AY65" s="5"/>
      <c r="AZ65" s="28">
        <v>44246</v>
      </c>
      <c r="BA65" s="3">
        <f t="shared" si="33"/>
        <v>60</v>
      </c>
      <c r="BB65" s="3">
        <f t="shared" si="21"/>
        <v>1.1787030684319741</v>
      </c>
      <c r="BC65" s="3">
        <f t="shared" si="22"/>
        <v>1.1535739760098704</v>
      </c>
      <c r="BD65" s="3">
        <f t="shared" si="23"/>
        <v>2.1527568804220332</v>
      </c>
      <c r="BE65" s="3">
        <f t="shared" si="24"/>
        <v>1.5372893107412606</v>
      </c>
      <c r="BG65" s="3">
        <f t="shared" si="27"/>
        <v>-2.4518411166720155E-2</v>
      </c>
      <c r="BH65" s="3">
        <f t="shared" si="28"/>
        <v>-1.6706792603534026E-2</v>
      </c>
      <c r="BI65" s="3">
        <f t="shared" si="29"/>
        <v>-4.7788847992733648E-2</v>
      </c>
      <c r="BJ65" s="3">
        <f t="shared" si="30"/>
        <v>-7.5066478071383322E-2</v>
      </c>
    </row>
    <row r="66" spans="1:62" ht="13.5" x14ac:dyDescent="0.2">
      <c r="A66" s="28">
        <v>44251</v>
      </c>
      <c r="B66" s="29">
        <v>233.13600199999999</v>
      </c>
      <c r="C66" s="29">
        <v>124.76814299999999</v>
      </c>
      <c r="D66" s="29">
        <v>3159.530029</v>
      </c>
      <c r="E66" s="29">
        <v>2083.8100589999999</v>
      </c>
      <c r="F66" s="29">
        <v>742.02002000000005</v>
      </c>
      <c r="G66" s="29">
        <v>2095.169922</v>
      </c>
      <c r="H66" s="29">
        <v>264.30999800000001</v>
      </c>
      <c r="I66" s="29">
        <v>144.863495</v>
      </c>
      <c r="J66" s="29">
        <v>248.449997</v>
      </c>
      <c r="K66" s="29">
        <v>150.58227500000001</v>
      </c>
      <c r="L66" s="26">
        <v>3925.43</v>
      </c>
      <c r="N66" s="3">
        <f t="shared" si="5"/>
        <v>-2.3990488852664471E-2</v>
      </c>
      <c r="O66" s="3">
        <f t="shared" si="6"/>
        <v>-3.5401914631483282E-2</v>
      </c>
      <c r="P66" s="3">
        <f t="shared" si="7"/>
        <v>-3.2936939889640783E-2</v>
      </c>
      <c r="Q66" s="3">
        <f t="shared" si="8"/>
        <v>-3.3107453214896165E-2</v>
      </c>
      <c r="R66" s="3">
        <f t="shared" si="9"/>
        <v>-8.4024079973081103E-2</v>
      </c>
      <c r="S66" s="3">
        <f t="shared" si="10"/>
        <v>-3.0929146346636079E-2</v>
      </c>
      <c r="T66" s="3">
        <f t="shared" si="11"/>
        <v>-3.7075521929666025E-2</v>
      </c>
      <c r="U66" s="3">
        <f t="shared" si="12"/>
        <v>-8.575211311378933E-2</v>
      </c>
      <c r="V66" s="3">
        <f t="shared" si="13"/>
        <v>-1.93446720353448E-2</v>
      </c>
      <c r="W66" s="3">
        <f t="shared" si="14"/>
        <v>-1.3664721768625692E-2</v>
      </c>
      <c r="X66" s="3">
        <f t="shared" si="15"/>
        <v>-2.4783434790564104E-2</v>
      </c>
      <c r="Z66" s="6" t="s">
        <v>41</v>
      </c>
      <c r="AA66" s="3">
        <v>0.29866786042519555</v>
      </c>
      <c r="AB66" s="3">
        <v>-0.25172161547444988</v>
      </c>
      <c r="AC66" s="3">
        <v>-0.50406327169899579</v>
      </c>
      <c r="AD66" s="3">
        <v>-0.34920858700260315</v>
      </c>
      <c r="AE66" s="3">
        <v>0.25645479595420179</v>
      </c>
      <c r="AF66" s="3">
        <v>0.23017613369507403</v>
      </c>
      <c r="AG66" s="3">
        <v>-0.45709068724406232</v>
      </c>
      <c r="AH66" s="3">
        <v>0.35862820023974701</v>
      </c>
      <c r="AI66" s="3">
        <v>0.12292552179853847</v>
      </c>
      <c r="AJ66" s="3">
        <v>-6.6118613445837751E-4</v>
      </c>
      <c r="AL66" s="8"/>
      <c r="AW66" s="3"/>
      <c r="AY66" s="5"/>
      <c r="AZ66" s="28">
        <v>44249</v>
      </c>
      <c r="BA66" s="3">
        <f t="shared" si="33"/>
        <v>61</v>
      </c>
      <c r="BB66" s="3">
        <f t="shared" si="21"/>
        <v>1.1501545542147684</v>
      </c>
      <c r="BC66" s="3">
        <f t="shared" si="22"/>
        <v>1.1344615530312503</v>
      </c>
      <c r="BD66" s="3">
        <f t="shared" si="23"/>
        <v>2.052298619318965</v>
      </c>
      <c r="BE66" s="3">
        <f t="shared" si="24"/>
        <v>1.4261153360942918</v>
      </c>
      <c r="BG66" s="3">
        <f t="shared" si="27"/>
        <v>-9.2692198024926884E-4</v>
      </c>
      <c r="BH66" s="3">
        <f t="shared" si="28"/>
        <v>1.0842782535346821E-3</v>
      </c>
      <c r="BI66" s="3">
        <f t="shared" si="29"/>
        <v>-9.0642870083096089E-3</v>
      </c>
      <c r="BJ66" s="3">
        <f t="shared" si="30"/>
        <v>-1.8715957967389757E-2</v>
      </c>
    </row>
    <row r="67" spans="1:62" ht="13.5" x14ac:dyDescent="0.2">
      <c r="A67" s="28">
        <v>44252</v>
      </c>
      <c r="B67" s="29">
        <v>227.609512</v>
      </c>
      <c r="C67" s="29">
        <v>120.428383</v>
      </c>
      <c r="D67" s="29">
        <v>3057.1599120000001</v>
      </c>
      <c r="E67" s="29">
        <v>2015.9499510000001</v>
      </c>
      <c r="F67" s="29">
        <v>682.21997099999999</v>
      </c>
      <c r="G67" s="29">
        <v>2031.3599850000001</v>
      </c>
      <c r="H67" s="29">
        <v>254.69000199999999</v>
      </c>
      <c r="I67" s="29">
        <v>132.95886200000001</v>
      </c>
      <c r="J67" s="29">
        <v>243.69000199999999</v>
      </c>
      <c r="K67" s="29">
        <v>148.53860499999999</v>
      </c>
      <c r="L67" s="26">
        <v>3829.34</v>
      </c>
      <c r="N67" s="3">
        <f t="shared" si="5"/>
        <v>1.4695649652657574E-2</v>
      </c>
      <c r="O67" s="3">
        <f t="shared" si="6"/>
        <v>2.2290889932355526E-3</v>
      </c>
      <c r="P67" s="3">
        <f t="shared" si="7"/>
        <v>1.1632488063573755E-2</v>
      </c>
      <c r="Q67" s="3">
        <f t="shared" si="8"/>
        <v>2.9521020295919325E-3</v>
      </c>
      <c r="R67" s="3">
        <f t="shared" si="9"/>
        <v>-9.8989865621371791E-3</v>
      </c>
      <c r="S67" s="3">
        <f t="shared" si="10"/>
        <v>2.7038869045601117E-3</v>
      </c>
      <c r="T67" s="3">
        <f t="shared" si="11"/>
        <v>1.1438484368901023E-2</v>
      </c>
      <c r="U67" s="3">
        <f t="shared" si="12"/>
        <v>3.0125910376783346E-2</v>
      </c>
      <c r="V67" s="3">
        <f t="shared" si="13"/>
        <v>-1.3135286004307174E-2</v>
      </c>
      <c r="W67" s="3">
        <f t="shared" si="14"/>
        <v>-2.6882827301815394E-2</v>
      </c>
      <c r="X67" s="3">
        <f t="shared" si="15"/>
        <v>-4.7614837180722748E-3</v>
      </c>
      <c r="AK67" s="3"/>
      <c r="AL67" s="8"/>
      <c r="AW67" s="3"/>
      <c r="AY67" s="5"/>
      <c r="AZ67" s="28">
        <v>44250</v>
      </c>
      <c r="BA67" s="3">
        <f t="shared" si="33"/>
        <v>62</v>
      </c>
      <c r="BB67" s="3">
        <f t="shared" si="21"/>
        <v>1.1490889446225558</v>
      </c>
      <c r="BC67" s="3">
        <f t="shared" si="22"/>
        <v>1.1356922921339181</v>
      </c>
      <c r="BD67" s="3">
        <f t="shared" si="23"/>
        <v>2.0337800512071684</v>
      </c>
      <c r="BE67" s="3">
        <f t="shared" si="24"/>
        <v>1.3996724453026801</v>
      </c>
      <c r="BG67" s="3">
        <f t="shared" si="27"/>
        <v>1.4166976706421598E-2</v>
      </c>
      <c r="BH67" s="3">
        <f t="shared" si="28"/>
        <v>1.0389675570192197E-2</v>
      </c>
      <c r="BI67" s="3">
        <f t="shared" si="29"/>
        <v>2.3616509395629065E-2</v>
      </c>
      <c r="BJ67" s="3">
        <f t="shared" si="30"/>
        <v>3.6075037870571945E-2</v>
      </c>
    </row>
    <row r="68" spans="1:62" ht="13.5" x14ac:dyDescent="0.2">
      <c r="A68" s="28">
        <v>44253</v>
      </c>
      <c r="B68" s="29">
        <v>230.97908000000001</v>
      </c>
      <c r="C68" s="29">
        <v>120.69712800000001</v>
      </c>
      <c r="D68" s="29">
        <v>3092.929932</v>
      </c>
      <c r="E68" s="29">
        <v>2021.910034</v>
      </c>
      <c r="F68" s="29">
        <v>675.5</v>
      </c>
      <c r="G68" s="29">
        <v>2036.8599850000001</v>
      </c>
      <c r="H68" s="29">
        <v>257.61999500000002</v>
      </c>
      <c r="I68" s="29">
        <v>137.02531400000001</v>
      </c>
      <c r="J68" s="29">
        <v>240.509995</v>
      </c>
      <c r="K68" s="29">
        <v>144.59866299999999</v>
      </c>
      <c r="L68" s="26">
        <v>3811.15</v>
      </c>
      <c r="N68" s="3">
        <f t="shared" ref="N68:N131" si="49">LN(B69/B68)</f>
        <v>1.9432944817993045E-2</v>
      </c>
      <c r="O68" s="3">
        <f t="shared" ref="O68:O131" si="50">LN(C69/C68)</f>
        <v>5.2451340890517346E-2</v>
      </c>
      <c r="P68" s="3">
        <f t="shared" ref="P68:P131" si="51">LN(D69/D68)</f>
        <v>1.7057430877515479E-2</v>
      </c>
      <c r="Q68" s="3">
        <f t="shared" ref="Q68:Q131" si="52">LN(E69/E68)</f>
        <v>2.3341674022090003E-2</v>
      </c>
      <c r="R68" s="3">
        <f t="shared" ref="R68:R131" si="53">LN(F69/F68)</f>
        <v>6.1615108437844408E-2</v>
      </c>
      <c r="S68" s="3">
        <f t="shared" ref="S68:S131" si="54">LN(G69/G68)</f>
        <v>2.1684197677135347E-2</v>
      </c>
      <c r="T68" s="3">
        <f t="shared" ref="T68:T131" si="55">LN(H69/H68)</f>
        <v>2.7904549199839351E-2</v>
      </c>
      <c r="U68" s="3">
        <f t="shared" ref="U68:U131" si="56">LN(I69/I68)</f>
        <v>9.2357453482850172E-3</v>
      </c>
      <c r="V68" s="3">
        <f t="shared" ref="V68:V131" si="57">LN(J69/J68)</f>
        <v>3.5534294674036647E-2</v>
      </c>
      <c r="W68" s="3">
        <f t="shared" ref="W68:W131" si="58">LN(K69/K68)</f>
        <v>2.2374820479972975E-2</v>
      </c>
      <c r="X68" s="3">
        <f t="shared" ref="X68:X131" si="59">LN(L69/L68)</f>
        <v>2.3512130081996933E-2</v>
      </c>
      <c r="Z68" s="4" t="s">
        <v>21</v>
      </c>
      <c r="AK68" s="3"/>
      <c r="AL68" s="8"/>
      <c r="AW68" s="3"/>
      <c r="AY68" s="5"/>
      <c r="AZ68" s="28">
        <v>44251</v>
      </c>
      <c r="BA68" s="3">
        <f t="shared" si="33"/>
        <v>63</v>
      </c>
      <c r="BB68" s="3">
        <f t="shared" si="21"/>
        <v>1.1654839203447462</v>
      </c>
      <c r="BC68" s="3">
        <f t="shared" si="22"/>
        <v>1.1475532757881606</v>
      </c>
      <c r="BD68" s="3">
        <f t="shared" si="23"/>
        <v>2.082382487909364</v>
      </c>
      <c r="BE68" s="3">
        <f t="shared" si="24"/>
        <v>1.4510875060265329</v>
      </c>
      <c r="BG68" s="3">
        <f t="shared" si="27"/>
        <v>-4.0319052805564623E-2</v>
      </c>
      <c r="BH68" s="3">
        <f t="shared" si="28"/>
        <v>-3.3433413729831135E-2</v>
      </c>
      <c r="BI68" s="3">
        <f t="shared" si="29"/>
        <v>-5.6201757600433222E-2</v>
      </c>
      <c r="BJ68" s="3">
        <f t="shared" si="30"/>
        <v>-7.5436398888557438E-2</v>
      </c>
    </row>
    <row r="69" spans="1:62" ht="13.5" x14ac:dyDescent="0.2">
      <c r="A69" s="28">
        <v>44256</v>
      </c>
      <c r="B69" s="29">
        <v>235.51158100000001</v>
      </c>
      <c r="C69" s="29">
        <v>127.19682299999999</v>
      </c>
      <c r="D69" s="29">
        <v>3146.139893</v>
      </c>
      <c r="E69" s="29">
        <v>2069.6599120000001</v>
      </c>
      <c r="F69" s="29">
        <v>718.42999299999997</v>
      </c>
      <c r="G69" s="29">
        <v>2081.51001</v>
      </c>
      <c r="H69" s="29">
        <v>264.91000400000001</v>
      </c>
      <c r="I69" s="29">
        <v>138.296707</v>
      </c>
      <c r="J69" s="29">
        <v>249.21000699999999</v>
      </c>
      <c r="K69" s="29">
        <v>147.870499</v>
      </c>
      <c r="L69" s="26">
        <v>3901.82</v>
      </c>
      <c r="N69" s="3">
        <f t="shared" si="49"/>
        <v>-1.3041564201995065E-2</v>
      </c>
      <c r="O69" s="3">
        <f t="shared" si="50"/>
        <v>-2.1115092187128062E-2</v>
      </c>
      <c r="P69" s="3">
        <f t="shared" si="51"/>
        <v>-1.6540224448462253E-2</v>
      </c>
      <c r="Q69" s="3">
        <f t="shared" si="52"/>
        <v>-2.5059310260500604E-3</v>
      </c>
      <c r="R69" s="3">
        <f t="shared" si="53"/>
        <v>-4.5549441390412469E-2</v>
      </c>
      <c r="S69" s="3">
        <f t="shared" si="54"/>
        <v>-2.7276632382479886E-3</v>
      </c>
      <c r="T69" s="3">
        <f t="shared" si="55"/>
        <v>-2.2562099059812338E-2</v>
      </c>
      <c r="U69" s="3">
        <f t="shared" si="56"/>
        <v>-3.1968344906080699E-2</v>
      </c>
      <c r="V69" s="3">
        <f t="shared" si="57"/>
        <v>4.0101919390597197E-5</v>
      </c>
      <c r="W69" s="3">
        <f t="shared" si="58"/>
        <v>-3.2611742680676132E-3</v>
      </c>
      <c r="X69" s="3">
        <f t="shared" si="59"/>
        <v>-8.113671312552936E-3</v>
      </c>
      <c r="AA69" s="6">
        <f>AA56</f>
        <v>7.4379385829629037</v>
      </c>
      <c r="AB69" s="6">
        <f>AB56+AA56</f>
        <v>8.6825454940522402</v>
      </c>
      <c r="AC69" s="3">
        <f>SUM(start:AC56)</f>
        <v>9.484846479929379</v>
      </c>
      <c r="AD69" s="3">
        <f>SUM(start:AD56)</f>
        <v>9.7492277016071682</v>
      </c>
      <c r="AE69" s="3">
        <f>SUM(start:AE56)</f>
        <v>9.8785872386701961</v>
      </c>
      <c r="AF69" s="3">
        <f>SUM(start:AF56)</f>
        <v>9.9319642734549571</v>
      </c>
      <c r="AG69" s="3">
        <f>SUM(start:AG56)</f>
        <v>9.9640892157771148</v>
      </c>
      <c r="AH69" s="3">
        <f>SUM(start:AH56)</f>
        <v>9.9904038449530095</v>
      </c>
      <c r="AI69" s="3">
        <f>SUM(start:AI56)</f>
        <v>9.9992264767094259</v>
      </c>
      <c r="AJ69" s="3">
        <f>SUM(start:AJ56)</f>
        <v>9.9999999999999964</v>
      </c>
      <c r="AK69" s="3"/>
      <c r="AL69" s="8"/>
      <c r="AW69" s="3"/>
      <c r="AY69" s="5"/>
      <c r="AZ69" s="28">
        <v>44252</v>
      </c>
      <c r="BA69" s="3">
        <f t="shared" si="33"/>
        <v>64</v>
      </c>
      <c r="BB69" s="3">
        <f t="shared" ref="BB69:BB132" si="60">SUMPRODUCT(B67:K67*EWS)</f>
        <v>1.1194274287253734</v>
      </c>
      <c r="BC69" s="3">
        <f t="shared" ref="BC69:BC132" si="61">SUMPRODUCT(B67:K67*RE)</f>
        <v>1.1098209276264819</v>
      </c>
      <c r="BD69" s="3">
        <f t="shared" ref="BD69:BD132" si="62">SUMPRODUCT(B67:K67*EWP)</f>
        <v>1.968576922785636</v>
      </c>
      <c r="BE69" s="3">
        <f t="shared" ref="BE69:BE132" si="63">SUMPRODUCT(B67:K67*DRP)</f>
        <v>1.3456496136589899</v>
      </c>
      <c r="BG69" s="3">
        <f t="shared" si="27"/>
        <v>1.3899101078145911E-3</v>
      </c>
      <c r="BH69" s="3">
        <f t="shared" si="28"/>
        <v>5.7597674730437061E-5</v>
      </c>
      <c r="BI69" s="3">
        <f t="shared" si="29"/>
        <v>5.1269292244878637E-3</v>
      </c>
      <c r="BJ69" s="3">
        <f t="shared" si="30"/>
        <v>7.9168585941331426E-3</v>
      </c>
    </row>
    <row r="70" spans="1:62" ht="13.5" x14ac:dyDescent="0.2">
      <c r="A70" s="28">
        <v>44257</v>
      </c>
      <c r="B70" s="29">
        <v>232.460083</v>
      </c>
      <c r="C70" s="29">
        <v>124.539207</v>
      </c>
      <c r="D70" s="29">
        <v>3094.530029</v>
      </c>
      <c r="E70" s="29">
        <v>2064.4799800000001</v>
      </c>
      <c r="F70" s="29">
        <v>686.44000200000005</v>
      </c>
      <c r="G70" s="29">
        <v>2075.8400879999999</v>
      </c>
      <c r="H70" s="29">
        <v>259</v>
      </c>
      <c r="I70" s="29">
        <v>133.94551100000001</v>
      </c>
      <c r="J70" s="29">
        <v>249.220001</v>
      </c>
      <c r="K70" s="29">
        <v>147.38905299999999</v>
      </c>
      <c r="L70" s="26">
        <v>3870.29</v>
      </c>
      <c r="N70" s="3">
        <f t="shared" si="49"/>
        <v>-2.7351455330678807E-2</v>
      </c>
      <c r="O70" s="3">
        <f t="shared" si="50"/>
        <v>-2.4760575827176723E-2</v>
      </c>
      <c r="P70" s="3">
        <f t="shared" si="51"/>
        <v>-2.9358478153976544E-2</v>
      </c>
      <c r="Q70" s="3">
        <f t="shared" si="52"/>
        <v>-2.6042383452750645E-2</v>
      </c>
      <c r="R70" s="3">
        <f t="shared" si="53"/>
        <v>-4.9635444980279456E-2</v>
      </c>
      <c r="S70" s="3">
        <f t="shared" si="54"/>
        <v>-2.3952164017709068E-2</v>
      </c>
      <c r="T70" s="3">
        <f t="shared" si="55"/>
        <v>-1.3957948938698218E-2</v>
      </c>
      <c r="U70" s="3">
        <f t="shared" si="56"/>
        <v>-4.5904819986189012E-2</v>
      </c>
      <c r="V70" s="3">
        <f t="shared" si="57"/>
        <v>9.305744336145283E-3</v>
      </c>
      <c r="W70" s="3">
        <f t="shared" si="58"/>
        <v>1.9147576205504294E-2</v>
      </c>
      <c r="X70" s="3">
        <f t="shared" si="59"/>
        <v>-1.3152318131987126E-2</v>
      </c>
      <c r="AA70" s="4" t="s">
        <v>44</v>
      </c>
      <c r="AK70" s="3"/>
      <c r="AL70" s="8"/>
      <c r="AW70" s="3"/>
      <c r="AY70" s="5"/>
      <c r="AZ70" s="28">
        <v>44253</v>
      </c>
      <c r="BA70" s="3">
        <f t="shared" si="33"/>
        <v>65</v>
      </c>
      <c r="BB70" s="3">
        <f t="shared" si="60"/>
        <v>1.1209844140076592</v>
      </c>
      <c r="BC70" s="3">
        <f t="shared" si="61"/>
        <v>1.1098848525722267</v>
      </c>
      <c r="BD70" s="3">
        <f t="shared" si="62"/>
        <v>1.9786955940329471</v>
      </c>
      <c r="BE70" s="3">
        <f t="shared" si="63"/>
        <v>1.3563452132788252</v>
      </c>
      <c r="BG70" s="3">
        <f t="shared" ref="BG70:BG133" si="64">LN(BB71/BB70)</f>
        <v>2.9861461061865352E-2</v>
      </c>
      <c r="BH70" s="3">
        <f t="shared" ref="BH70:BH133" si="65">LN(BC71/BC70)</f>
        <v>2.82910598998545E-2</v>
      </c>
      <c r="BI70" s="3">
        <f t="shared" ref="BI70:BI133" si="66">LN(BD71/BD70)</f>
        <v>3.6462746730389767E-2</v>
      </c>
      <c r="BJ70" s="3">
        <f t="shared" ref="BJ70:BJ133" si="67">LN(BE71/BE70)</f>
        <v>4.5654390829005513E-2</v>
      </c>
    </row>
    <row r="71" spans="1:62" ht="13.5" x14ac:dyDescent="0.2">
      <c r="A71" s="28">
        <v>44258</v>
      </c>
      <c r="B71" s="29">
        <v>226.18812600000001</v>
      </c>
      <c r="C71" s="29">
        <v>121.493408</v>
      </c>
      <c r="D71" s="29">
        <v>3005</v>
      </c>
      <c r="E71" s="29">
        <v>2011.410034</v>
      </c>
      <c r="F71" s="29">
        <v>653.20001200000002</v>
      </c>
      <c r="G71" s="29">
        <v>2026.709961</v>
      </c>
      <c r="H71" s="29">
        <v>255.41000399999999</v>
      </c>
      <c r="I71" s="29">
        <v>127.93576</v>
      </c>
      <c r="J71" s="29">
        <v>251.550003</v>
      </c>
      <c r="K71" s="29">
        <v>150.23838799999999</v>
      </c>
      <c r="L71" s="26">
        <v>3819.72</v>
      </c>
      <c r="N71" s="3">
        <f t="shared" si="49"/>
        <v>-3.6540610122215446E-3</v>
      </c>
      <c r="O71" s="3">
        <f t="shared" si="50"/>
        <v>-1.5938253219992312E-2</v>
      </c>
      <c r="P71" s="3">
        <f t="shared" si="51"/>
        <v>-9.1700135230348458E-3</v>
      </c>
      <c r="Q71" s="3">
        <f t="shared" si="52"/>
        <v>1.1133923056848289E-2</v>
      </c>
      <c r="R71" s="3">
        <f t="shared" si="53"/>
        <v>-4.9844010586168996E-2</v>
      </c>
      <c r="S71" s="3">
        <f t="shared" si="54"/>
        <v>1.0982065686009469E-2</v>
      </c>
      <c r="T71" s="3">
        <f t="shared" si="55"/>
        <v>8.6932071386219018E-3</v>
      </c>
      <c r="U71" s="3">
        <f t="shared" si="56"/>
        <v>-3.4521869374714124E-2</v>
      </c>
      <c r="V71" s="3">
        <f t="shared" si="57"/>
        <v>-2.4426327637096259E-2</v>
      </c>
      <c r="W71" s="3">
        <f t="shared" si="58"/>
        <v>-1.5487862300264006E-2</v>
      </c>
      <c r="X71" s="3">
        <f t="shared" si="59"/>
        <v>-1.3508037960082262E-2</v>
      </c>
      <c r="AK71" s="3"/>
      <c r="AL71" s="8"/>
      <c r="AW71" s="3"/>
      <c r="AY71" s="5"/>
      <c r="AZ71" s="28">
        <v>44256</v>
      </c>
      <c r="BA71" s="3">
        <f t="shared" si="33"/>
        <v>66</v>
      </c>
      <c r="BB71" s="3">
        <f t="shared" si="60"/>
        <v>1.1549634534108586</v>
      </c>
      <c r="BC71" s="3">
        <f t="shared" si="61"/>
        <v>1.1417330569424415</v>
      </c>
      <c r="BD71" s="3">
        <f t="shared" si="62"/>
        <v>2.0521757739226874</v>
      </c>
      <c r="BE71" s="3">
        <f t="shared" si="63"/>
        <v>1.4197036178592468</v>
      </c>
      <c r="BG71" s="3">
        <f t="shared" si="64"/>
        <v>-1.6156569566891391E-2</v>
      </c>
      <c r="BH71" s="3">
        <f t="shared" si="65"/>
        <v>-1.2069442390313533E-2</v>
      </c>
      <c r="BI71" s="3">
        <f t="shared" si="66"/>
        <v>-2.6250416786828733E-2</v>
      </c>
      <c r="BJ71" s="3">
        <f t="shared" si="67"/>
        <v>-3.8996634257731713E-2</v>
      </c>
    </row>
    <row r="72" spans="1:62" ht="13.5" x14ac:dyDescent="0.2">
      <c r="A72" s="28">
        <v>44259</v>
      </c>
      <c r="B72" s="29">
        <v>225.36312899999999</v>
      </c>
      <c r="C72" s="29">
        <v>119.572365</v>
      </c>
      <c r="D72" s="29">
        <v>2977.570068</v>
      </c>
      <c r="E72" s="29">
        <v>2033.9300539999999</v>
      </c>
      <c r="F72" s="29">
        <v>621.44000200000005</v>
      </c>
      <c r="G72" s="29">
        <v>2049.0900879999999</v>
      </c>
      <c r="H72" s="29">
        <v>257.64001500000001</v>
      </c>
      <c r="I72" s="29">
        <v>123.594543</v>
      </c>
      <c r="J72" s="29">
        <v>245.479996</v>
      </c>
      <c r="K72" s="29">
        <v>147.92944299999999</v>
      </c>
      <c r="L72" s="26">
        <v>3768.47</v>
      </c>
      <c r="N72" s="3">
        <f t="shared" si="49"/>
        <v>2.1251847917919366E-2</v>
      </c>
      <c r="O72" s="3">
        <f t="shared" si="50"/>
        <v>1.0681178626672084E-2</v>
      </c>
      <c r="P72" s="3">
        <f t="shared" si="51"/>
        <v>7.6580427849459549E-3</v>
      </c>
      <c r="Q72" s="3">
        <f t="shared" si="52"/>
        <v>3.0571256171521781E-2</v>
      </c>
      <c r="R72" s="3">
        <f t="shared" si="53"/>
        <v>-3.8532210397853171E-2</v>
      </c>
      <c r="S72" s="3">
        <f t="shared" si="54"/>
        <v>2.859994824975912E-2</v>
      </c>
      <c r="T72" s="3">
        <f t="shared" si="55"/>
        <v>2.5445823478357842E-2</v>
      </c>
      <c r="U72" s="3">
        <f t="shared" si="56"/>
        <v>7.3495700748155354E-3</v>
      </c>
      <c r="V72" s="3">
        <f t="shared" si="57"/>
        <v>3.0766713488265398E-2</v>
      </c>
      <c r="W72" s="3">
        <f t="shared" si="58"/>
        <v>2.3220791113385719E-3</v>
      </c>
      <c r="X72" s="3">
        <f t="shared" si="59"/>
        <v>1.9308363815583877E-2</v>
      </c>
      <c r="AK72" s="3"/>
      <c r="AL72" s="8"/>
      <c r="AW72" s="3"/>
      <c r="AY72" s="5"/>
      <c r="AZ72" s="28">
        <v>44257</v>
      </c>
      <c r="BA72" s="3">
        <f t="shared" ref="BA72:BA135" si="68">BA71+1</f>
        <v>67</v>
      </c>
      <c r="BB72" s="3">
        <f t="shared" si="60"/>
        <v>1.1364531402608127</v>
      </c>
      <c r="BC72" s="3">
        <f t="shared" si="61"/>
        <v>1.1280358009819311</v>
      </c>
      <c r="BD72" s="3">
        <f t="shared" si="62"/>
        <v>1.9990062191809681</v>
      </c>
      <c r="BE72" s="3">
        <f t="shared" si="63"/>
        <v>1.3654055568492554</v>
      </c>
      <c r="BG72" s="3">
        <f t="shared" si="64"/>
        <v>-2.091710761101959E-2</v>
      </c>
      <c r="BH72" s="3">
        <f t="shared" si="65"/>
        <v>-1.5916525837688267E-2</v>
      </c>
      <c r="BI72" s="3">
        <f t="shared" si="66"/>
        <v>-3.6456359179645466E-2</v>
      </c>
      <c r="BJ72" s="3">
        <f t="shared" si="67"/>
        <v>-5.4583504378132412E-2</v>
      </c>
    </row>
    <row r="73" spans="1:62" ht="13.5" x14ac:dyDescent="0.2">
      <c r="A73" s="28">
        <v>44260</v>
      </c>
      <c r="B73" s="29">
        <v>230.203766</v>
      </c>
      <c r="C73" s="29">
        <v>120.85638400000001</v>
      </c>
      <c r="D73" s="29">
        <v>3000.459961</v>
      </c>
      <c r="E73" s="29">
        <v>2097.070068</v>
      </c>
      <c r="F73" s="29">
        <v>597.95001200000002</v>
      </c>
      <c r="G73" s="29">
        <v>2108.540039</v>
      </c>
      <c r="H73" s="29">
        <v>264.27999899999998</v>
      </c>
      <c r="I73" s="29">
        <v>124.50625599999999</v>
      </c>
      <c r="J73" s="29">
        <v>253.14999399999999</v>
      </c>
      <c r="K73" s="29">
        <v>148.273346</v>
      </c>
      <c r="L73" s="26">
        <v>3841.94</v>
      </c>
      <c r="N73" s="3">
        <f t="shared" si="49"/>
        <v>-1.8345059279342713E-2</v>
      </c>
      <c r="O73" s="3">
        <f t="shared" si="50"/>
        <v>-4.2566792205731598E-2</v>
      </c>
      <c r="P73" s="3">
        <f t="shared" si="51"/>
        <v>-1.6299644922873755E-2</v>
      </c>
      <c r="Q73" s="3">
        <f t="shared" si="52"/>
        <v>-4.3650997970568928E-2</v>
      </c>
      <c r="R73" s="3">
        <f t="shared" si="53"/>
        <v>-6.0227530343693512E-2</v>
      </c>
      <c r="S73" s="3">
        <f t="shared" si="54"/>
        <v>-4.0836021622842555E-2</v>
      </c>
      <c r="T73" s="3">
        <f t="shared" si="55"/>
        <v>-3.4530658126717052E-2</v>
      </c>
      <c r="U73" s="3">
        <f t="shared" si="56"/>
        <v>-7.2220821982460881E-2</v>
      </c>
      <c r="V73" s="3">
        <f t="shared" si="57"/>
        <v>1.746458041039313E-2</v>
      </c>
      <c r="W73" s="3">
        <f t="shared" si="58"/>
        <v>1.3165783188925525E-2</v>
      </c>
      <c r="X73" s="3">
        <f t="shared" si="59"/>
        <v>-5.3736840305412389E-3</v>
      </c>
      <c r="Z73" s="4" t="s">
        <v>45</v>
      </c>
      <c r="AK73" s="3"/>
      <c r="AL73" s="8"/>
      <c r="AW73" s="3"/>
      <c r="AY73" s="5"/>
      <c r="AZ73" s="28">
        <v>44258</v>
      </c>
      <c r="BA73" s="3">
        <f t="shared" si="68"/>
        <v>68</v>
      </c>
      <c r="BB73" s="3">
        <f t="shared" si="60"/>
        <v>1.1129287167845596</v>
      </c>
      <c r="BC73" s="3">
        <f t="shared" si="61"/>
        <v>1.1102235208572717</v>
      </c>
      <c r="BD73" s="3">
        <f t="shared" si="62"/>
        <v>1.9274421392931635</v>
      </c>
      <c r="BE73" s="3">
        <f t="shared" si="63"/>
        <v>1.2928744449159131</v>
      </c>
      <c r="BG73" s="3">
        <f t="shared" si="64"/>
        <v>-1.271998005031386E-2</v>
      </c>
      <c r="BH73" s="3">
        <f t="shared" si="65"/>
        <v>-1.016761205632462E-2</v>
      </c>
      <c r="BI73" s="3">
        <f t="shared" si="66"/>
        <v>-2.1805045512740526E-2</v>
      </c>
      <c r="BJ73" s="3">
        <f t="shared" si="67"/>
        <v>-3.508537113241024E-2</v>
      </c>
    </row>
    <row r="74" spans="1:62" ht="13.5" x14ac:dyDescent="0.2">
      <c r="A74" s="28">
        <v>44263</v>
      </c>
      <c r="B74" s="29">
        <v>226.01916499999999</v>
      </c>
      <c r="C74" s="29">
        <v>115.81986999999999</v>
      </c>
      <c r="D74" s="29">
        <v>2951.9499510000001</v>
      </c>
      <c r="E74" s="29">
        <v>2007.5</v>
      </c>
      <c r="F74" s="29">
        <v>563</v>
      </c>
      <c r="G74" s="29">
        <v>2024.170044</v>
      </c>
      <c r="H74" s="29">
        <v>255.30999800000001</v>
      </c>
      <c r="I74" s="29">
        <v>115.831337</v>
      </c>
      <c r="J74" s="29">
        <v>257.60998499999999</v>
      </c>
      <c r="K74" s="29">
        <v>150.23838799999999</v>
      </c>
      <c r="L74" s="26">
        <v>3821.35</v>
      </c>
      <c r="N74" s="3">
        <f t="shared" si="49"/>
        <v>2.7713869314170629E-2</v>
      </c>
      <c r="O74" s="3">
        <f t="shared" si="50"/>
        <v>3.9845254783948646E-2</v>
      </c>
      <c r="P74" s="3">
        <f t="shared" si="51"/>
        <v>3.6879934725151019E-2</v>
      </c>
      <c r="Q74" s="3">
        <f t="shared" si="52"/>
        <v>1.6236088684834261E-2</v>
      </c>
      <c r="R74" s="3">
        <f t="shared" si="53"/>
        <v>0.1793271683745111</v>
      </c>
      <c r="S74" s="3">
        <f t="shared" si="54"/>
        <v>1.3996214139749894E-2</v>
      </c>
      <c r="T74" s="3">
        <f t="shared" si="55"/>
        <v>4.0039864281291915E-2</v>
      </c>
      <c r="U74" s="3">
        <f t="shared" si="56"/>
        <v>7.7269432467574631E-2</v>
      </c>
      <c r="V74" s="3">
        <f t="shared" si="57"/>
        <v>5.4584812027291358E-3</v>
      </c>
      <c r="W74" s="3">
        <f t="shared" si="58"/>
        <v>-7.088015914483034E-3</v>
      </c>
      <c r="X74" s="3">
        <f t="shared" si="59"/>
        <v>1.4055441418613446E-2</v>
      </c>
      <c r="Z74" s="32" t="s">
        <v>46</v>
      </c>
      <c r="AA74" s="33"/>
      <c r="AB74" s="33"/>
      <c r="AC74" s="33"/>
      <c r="AD74" s="33"/>
      <c r="AE74" s="33"/>
      <c r="AF74" s="33"/>
      <c r="AG74" s="33"/>
      <c r="AH74" s="33"/>
      <c r="AK74" s="3"/>
      <c r="AL74" s="8"/>
      <c r="AW74" s="3"/>
      <c r="AY74" s="5"/>
      <c r="AZ74" s="28">
        <v>44259</v>
      </c>
      <c r="BA74" s="3">
        <f t="shared" si="68"/>
        <v>69</v>
      </c>
      <c r="BB74" s="3">
        <f t="shared" si="60"/>
        <v>1.0988619399341526</v>
      </c>
      <c r="BC74" s="3">
        <f t="shared" si="61"/>
        <v>1.0989923924360769</v>
      </c>
      <c r="BD74" s="3">
        <f t="shared" si="62"/>
        <v>1.8858690741921271</v>
      </c>
      <c r="BE74" s="3">
        <f t="shared" si="63"/>
        <v>1.2482999932187133</v>
      </c>
      <c r="BG74" s="3">
        <f t="shared" si="64"/>
        <v>1.1991593322103759E-2</v>
      </c>
      <c r="BH74" s="3">
        <f t="shared" si="65"/>
        <v>1.6540930666678562E-2</v>
      </c>
      <c r="BI74" s="3">
        <f t="shared" si="66"/>
        <v>-5.094529764976349E-4</v>
      </c>
      <c r="BJ74" s="3">
        <f t="shared" si="67"/>
        <v>-1.8901589786578195E-2</v>
      </c>
    </row>
    <row r="75" spans="1:62" ht="13.5" x14ac:dyDescent="0.2">
      <c r="A75" s="28">
        <v>44264</v>
      </c>
      <c r="B75" s="29">
        <v>232.37063599999999</v>
      </c>
      <c r="C75" s="29">
        <v>120.527916</v>
      </c>
      <c r="D75" s="29">
        <v>3062.8500979999999</v>
      </c>
      <c r="E75" s="29">
        <v>2040.3599850000001</v>
      </c>
      <c r="F75" s="29">
        <v>673.580017</v>
      </c>
      <c r="G75" s="29">
        <v>2052.6999510000001</v>
      </c>
      <c r="H75" s="29">
        <v>265.73998999999998</v>
      </c>
      <c r="I75" s="29">
        <v>125.13642900000001</v>
      </c>
      <c r="J75" s="29">
        <v>259.01998900000001</v>
      </c>
      <c r="K75" s="29">
        <v>149.17726099999999</v>
      </c>
      <c r="L75" s="26">
        <v>3875.44</v>
      </c>
      <c r="N75" s="3">
        <f t="shared" si="49"/>
        <v>-5.8344478535424993E-3</v>
      </c>
      <c r="O75" s="3">
        <f t="shared" si="50"/>
        <v>-9.2089120386113724E-3</v>
      </c>
      <c r="P75" s="3">
        <f t="shared" si="51"/>
        <v>-1.7025454714288256E-3</v>
      </c>
      <c r="Q75" s="3">
        <f t="shared" si="52"/>
        <v>-2.0458699293288965E-3</v>
      </c>
      <c r="R75" s="3">
        <f t="shared" si="53"/>
        <v>-8.2288096456244412E-3</v>
      </c>
      <c r="S75" s="3">
        <f t="shared" si="54"/>
        <v>1.1344846235056638E-3</v>
      </c>
      <c r="T75" s="3">
        <f t="shared" si="55"/>
        <v>-3.1659759044269545E-3</v>
      </c>
      <c r="U75" s="3">
        <f t="shared" si="56"/>
        <v>-4.1619558832889283E-3</v>
      </c>
      <c r="V75" s="3">
        <f t="shared" si="57"/>
        <v>1.9005949433117314E-2</v>
      </c>
      <c r="W75" s="3">
        <f t="shared" si="58"/>
        <v>2.1501980479407053E-2</v>
      </c>
      <c r="X75" s="3">
        <f t="shared" si="59"/>
        <v>6.0121736231132121E-3</v>
      </c>
      <c r="Z75" s="33"/>
      <c r="AA75" s="33"/>
      <c r="AB75" s="33"/>
      <c r="AC75" s="33"/>
      <c r="AD75" s="33"/>
      <c r="AE75" s="33"/>
      <c r="AF75" s="33"/>
      <c r="AG75" s="33"/>
      <c r="AH75" s="33"/>
      <c r="AK75" s="3"/>
      <c r="AL75" s="8"/>
      <c r="AW75" s="3"/>
      <c r="AY75" s="5"/>
      <c r="AZ75" s="28">
        <v>44260</v>
      </c>
      <c r="BA75" s="3">
        <f t="shared" si="68"/>
        <v>70</v>
      </c>
      <c r="BB75" s="3">
        <f t="shared" si="60"/>
        <v>1.1121183694367638</v>
      </c>
      <c r="BC75" s="3">
        <f t="shared" si="61"/>
        <v>1.1173219252532207</v>
      </c>
      <c r="BD75" s="3">
        <f t="shared" si="62"/>
        <v>1.8849085572688724</v>
      </c>
      <c r="BE75" s="3">
        <f t="shared" si="63"/>
        <v>1.2249267306037712</v>
      </c>
      <c r="BG75" s="3">
        <f t="shared" si="64"/>
        <v>-2.8518595861488864E-2</v>
      </c>
      <c r="BH75" s="3">
        <f t="shared" si="65"/>
        <v>-2.136882903507915E-2</v>
      </c>
      <c r="BI75" s="3">
        <f t="shared" si="66"/>
        <v>-4.6403452929858501E-2</v>
      </c>
      <c r="BJ75" s="3">
        <f t="shared" si="67"/>
        <v>-6.8494344843617036E-2</v>
      </c>
    </row>
    <row r="76" spans="1:62" ht="13.5" x14ac:dyDescent="0.2">
      <c r="A76" s="28">
        <v>44265</v>
      </c>
      <c r="B76" s="29">
        <v>231.01882900000001</v>
      </c>
      <c r="C76" s="29">
        <v>119.42308</v>
      </c>
      <c r="D76" s="29">
        <v>3057.639893</v>
      </c>
      <c r="E76" s="29">
        <v>2036.1899410000001</v>
      </c>
      <c r="F76" s="29">
        <v>668.05999799999995</v>
      </c>
      <c r="G76" s="29">
        <v>2055.030029</v>
      </c>
      <c r="H76" s="29">
        <v>264.89999399999999</v>
      </c>
      <c r="I76" s="29">
        <v>124.616699</v>
      </c>
      <c r="J76" s="29">
        <v>263.98998999999998</v>
      </c>
      <c r="K76" s="29">
        <v>152.419601</v>
      </c>
      <c r="L76" s="26">
        <v>3898.81</v>
      </c>
      <c r="N76" s="3">
        <f t="shared" si="49"/>
        <v>2.0062522337769766E-2</v>
      </c>
      <c r="O76" s="3">
        <f t="shared" si="50"/>
        <v>1.6367942193831891E-2</v>
      </c>
      <c r="P76" s="3">
        <f t="shared" si="51"/>
        <v>1.8133087971314028E-2</v>
      </c>
      <c r="Q76" s="3">
        <f t="shared" si="52"/>
        <v>3.1114087503331389E-2</v>
      </c>
      <c r="R76" s="3">
        <f t="shared" si="53"/>
        <v>4.6130721970551916E-2</v>
      </c>
      <c r="S76" s="3">
        <f t="shared" si="54"/>
        <v>2.8655608503726299E-2</v>
      </c>
      <c r="T76" s="3">
        <f t="shared" si="55"/>
        <v>3.3337698881065372E-2</v>
      </c>
      <c r="U76" s="3">
        <f t="shared" si="56"/>
        <v>4.126380397544948E-2</v>
      </c>
      <c r="V76" s="3">
        <f t="shared" si="57"/>
        <v>-1.1735650160053934E-2</v>
      </c>
      <c r="W76" s="3">
        <f t="shared" si="58"/>
        <v>-5.2351338559718371E-3</v>
      </c>
      <c r="X76" s="3">
        <f t="shared" si="59"/>
        <v>1.0341818218279307E-2</v>
      </c>
      <c r="Z76" s="33"/>
      <c r="AA76" s="33"/>
      <c r="AB76" s="33"/>
      <c r="AC76" s="33"/>
      <c r="AD76" s="33"/>
      <c r="AE76" s="33"/>
      <c r="AF76" s="33"/>
      <c r="AG76" s="33"/>
      <c r="AH76" s="33"/>
      <c r="AK76" s="3"/>
      <c r="AL76" s="8"/>
      <c r="AW76" s="3"/>
      <c r="AY76" s="5"/>
      <c r="AZ76" s="28">
        <v>44263</v>
      </c>
      <c r="BA76" s="3">
        <f t="shared" si="68"/>
        <v>71</v>
      </c>
      <c r="BB76" s="3">
        <f t="shared" si="60"/>
        <v>1.0808502950883903</v>
      </c>
      <c r="BC76" s="3">
        <f t="shared" si="61"/>
        <v>1.0936993562592137</v>
      </c>
      <c r="BD76" s="3">
        <f t="shared" si="62"/>
        <v>1.7994406310184301</v>
      </c>
      <c r="BE76" s="3">
        <f t="shared" si="63"/>
        <v>1.143835038691521</v>
      </c>
      <c r="BG76" s="3">
        <f t="shared" si="64"/>
        <v>4.2948119858650817E-2</v>
      </c>
      <c r="BH76" s="3">
        <f t="shared" si="65"/>
        <v>2.9523156689414291E-2</v>
      </c>
      <c r="BI76" s="3">
        <f t="shared" si="66"/>
        <v>8.0879838456731065E-2</v>
      </c>
      <c r="BJ76" s="3">
        <f t="shared" si="67"/>
        <v>0.13396823844227684</v>
      </c>
    </row>
    <row r="77" spans="1:62" ht="13.5" x14ac:dyDescent="0.2">
      <c r="A77" s="28">
        <v>44266</v>
      </c>
      <c r="B77" s="29">
        <v>235.70045500000001</v>
      </c>
      <c r="C77" s="29">
        <v>121.39387499999999</v>
      </c>
      <c r="D77" s="29">
        <v>3113.5900879999999</v>
      </c>
      <c r="E77" s="29">
        <v>2100.540039</v>
      </c>
      <c r="F77" s="29">
        <v>699.59997599999997</v>
      </c>
      <c r="G77" s="29">
        <v>2114.7700199999999</v>
      </c>
      <c r="H77" s="29">
        <v>273.88000499999998</v>
      </c>
      <c r="I77" s="29">
        <v>129.86642499999999</v>
      </c>
      <c r="J77" s="29">
        <v>260.91000400000001</v>
      </c>
      <c r="K77" s="29">
        <v>151.623749</v>
      </c>
      <c r="L77" s="26">
        <v>3939.34</v>
      </c>
      <c r="N77" s="3">
        <f t="shared" si="49"/>
        <v>-5.8366921741809527E-3</v>
      </c>
      <c r="O77" s="3">
        <f t="shared" si="50"/>
        <v>-7.654664723516575E-3</v>
      </c>
      <c r="P77" s="3">
        <f t="shared" si="51"/>
        <v>-7.7704040440693886E-3</v>
      </c>
      <c r="Q77" s="3">
        <f t="shared" si="52"/>
        <v>-2.4354679947299559E-2</v>
      </c>
      <c r="R77" s="3">
        <f t="shared" si="53"/>
        <v>-8.4259018525327609E-3</v>
      </c>
      <c r="S77" s="3">
        <f t="shared" si="54"/>
        <v>-2.5308519268105026E-2</v>
      </c>
      <c r="T77" s="3">
        <f t="shared" si="55"/>
        <v>-2.0211689766200552E-2</v>
      </c>
      <c r="U77" s="3">
        <f t="shared" si="56"/>
        <v>-1.0638554762475405E-2</v>
      </c>
      <c r="V77" s="3">
        <f t="shared" si="57"/>
        <v>-3.4170267711568594E-3</v>
      </c>
      <c r="W77" s="3">
        <f t="shared" si="58"/>
        <v>1.1788665774136139E-2</v>
      </c>
      <c r="X77" s="3">
        <f t="shared" si="59"/>
        <v>1.0148833501624158E-3</v>
      </c>
      <c r="Z77" s="33"/>
      <c r="AA77" s="33"/>
      <c r="AB77" s="33"/>
      <c r="AC77" s="33"/>
      <c r="AD77" s="33"/>
      <c r="AE77" s="33"/>
      <c r="AF77" s="33"/>
      <c r="AG77" s="33"/>
      <c r="AH77" s="33"/>
      <c r="AK77" s="3"/>
      <c r="AL77" s="8"/>
      <c r="AW77" s="3"/>
      <c r="AY77" s="5"/>
      <c r="AZ77" s="28">
        <v>44264</v>
      </c>
      <c r="BA77" s="3">
        <f t="shared" si="68"/>
        <v>72</v>
      </c>
      <c r="BB77" s="3">
        <f t="shared" si="60"/>
        <v>1.1282820447528346</v>
      </c>
      <c r="BC77" s="3">
        <f t="shared" si="61"/>
        <v>1.1264701825797159</v>
      </c>
      <c r="BD77" s="3">
        <f t="shared" si="62"/>
        <v>1.9510265979233445</v>
      </c>
      <c r="BE77" s="3">
        <f t="shared" si="63"/>
        <v>1.3078112313162629</v>
      </c>
      <c r="BG77" s="3">
        <f t="shared" si="64"/>
        <v>1.2260193209607797E-3</v>
      </c>
      <c r="BH77" s="3">
        <f t="shared" si="65"/>
        <v>3.3765797670771975E-3</v>
      </c>
      <c r="BI77" s="3">
        <f t="shared" si="66"/>
        <v>-5.8545129707554995E-3</v>
      </c>
      <c r="BJ77" s="3">
        <f t="shared" si="67"/>
        <v>-1.4047845843931973E-2</v>
      </c>
    </row>
    <row r="78" spans="1:62" ht="13.5" x14ac:dyDescent="0.2">
      <c r="A78" s="28">
        <v>44267</v>
      </c>
      <c r="B78" s="29">
        <v>234.32875100000001</v>
      </c>
      <c r="C78" s="29">
        <v>120.468193</v>
      </c>
      <c r="D78" s="29">
        <v>3089.48999</v>
      </c>
      <c r="E78" s="29">
        <v>2050</v>
      </c>
      <c r="F78" s="29">
        <v>693.72997999999995</v>
      </c>
      <c r="G78" s="29">
        <v>2061.919922</v>
      </c>
      <c r="H78" s="29">
        <v>268.39999399999999</v>
      </c>
      <c r="I78" s="29">
        <v>128.49215699999999</v>
      </c>
      <c r="J78" s="29">
        <v>260.01998900000001</v>
      </c>
      <c r="K78" s="29">
        <v>153.42176799999999</v>
      </c>
      <c r="L78" s="26">
        <v>3943.34</v>
      </c>
      <c r="N78" s="3">
        <f t="shared" si="49"/>
        <v>-3.9952189360416114E-3</v>
      </c>
      <c r="O78" s="3">
        <f t="shared" si="50"/>
        <v>2.4162516824928315E-2</v>
      </c>
      <c r="P78" s="3">
        <f t="shared" si="51"/>
        <v>-2.5311447483815802E-3</v>
      </c>
      <c r="Q78" s="3">
        <f t="shared" si="52"/>
        <v>2.1634828603380634E-3</v>
      </c>
      <c r="R78" s="3">
        <f t="shared" si="53"/>
        <v>2.0276540178384775E-2</v>
      </c>
      <c r="S78" s="3">
        <f t="shared" si="54"/>
        <v>2.2139612897672158E-3</v>
      </c>
      <c r="T78" s="3">
        <f t="shared" si="55"/>
        <v>1.9736898387878628E-2</v>
      </c>
      <c r="U78" s="3">
        <f t="shared" si="56"/>
        <v>2.5743164486222988E-2</v>
      </c>
      <c r="V78" s="3">
        <f t="shared" si="57"/>
        <v>-2.1025542252312859E-2</v>
      </c>
      <c r="W78" s="3">
        <f t="shared" si="58"/>
        <v>-5.0077149926714614E-3</v>
      </c>
      <c r="X78" s="3">
        <f t="shared" si="59"/>
        <v>6.4709765908568051E-3</v>
      </c>
      <c r="Z78" s="33"/>
      <c r="AA78" s="33"/>
      <c r="AB78" s="33"/>
      <c r="AC78" s="33"/>
      <c r="AD78" s="33"/>
      <c r="AE78" s="33"/>
      <c r="AF78" s="33"/>
      <c r="AG78" s="33"/>
      <c r="AH78" s="33"/>
      <c r="AK78" s="3"/>
      <c r="AL78" s="8"/>
      <c r="AW78" s="3"/>
      <c r="AY78" s="5"/>
      <c r="AZ78" s="28">
        <v>44265</v>
      </c>
      <c r="BA78" s="3">
        <f t="shared" si="68"/>
        <v>73</v>
      </c>
      <c r="BB78" s="3">
        <f t="shared" si="60"/>
        <v>1.1296661886594026</v>
      </c>
      <c r="BC78" s="3">
        <f t="shared" si="61"/>
        <v>1.1302802278473594</v>
      </c>
      <c r="BD78" s="3">
        <f t="shared" si="62"/>
        <v>1.939637658276901</v>
      </c>
      <c r="BE78" s="3">
        <f t="shared" si="63"/>
        <v>1.2895677416273721</v>
      </c>
      <c r="BG78" s="3">
        <f t="shared" si="64"/>
        <v>2.1536116235642503E-2</v>
      </c>
      <c r="BH78" s="3">
        <f t="shared" si="65"/>
        <v>1.6552425260577156E-2</v>
      </c>
      <c r="BI78" s="3">
        <f t="shared" si="66"/>
        <v>3.2574654393152984E-2</v>
      </c>
      <c r="BJ78" s="3">
        <f t="shared" si="67"/>
        <v>4.5718536072938923E-2</v>
      </c>
    </row>
    <row r="79" spans="1:62" ht="13.5" x14ac:dyDescent="0.2">
      <c r="A79" s="28">
        <v>44270</v>
      </c>
      <c r="B79" s="29">
        <v>233.39442399999999</v>
      </c>
      <c r="C79" s="29">
        <v>123.41445899999999</v>
      </c>
      <c r="D79" s="29">
        <v>3081.679932</v>
      </c>
      <c r="E79" s="29">
        <v>2054.4399410000001</v>
      </c>
      <c r="F79" s="29">
        <v>707.94000200000005</v>
      </c>
      <c r="G79" s="29">
        <v>2066.48999</v>
      </c>
      <c r="H79" s="29">
        <v>273.75</v>
      </c>
      <c r="I79" s="29">
        <v>131.842896</v>
      </c>
      <c r="J79" s="29">
        <v>254.61000100000001</v>
      </c>
      <c r="K79" s="29">
        <v>152.655396</v>
      </c>
      <c r="L79" s="26">
        <v>3968.94</v>
      </c>
      <c r="N79" s="3">
        <f t="shared" si="49"/>
        <v>1.2274728510159982E-2</v>
      </c>
      <c r="O79" s="3">
        <f t="shared" si="50"/>
        <v>1.2662431588728401E-2</v>
      </c>
      <c r="P79" s="3">
        <f t="shared" si="51"/>
        <v>3.2980054111682333E-3</v>
      </c>
      <c r="Q79" s="3">
        <f t="shared" si="52"/>
        <v>1.4233012031701697E-2</v>
      </c>
      <c r="R79" s="3">
        <f t="shared" si="53"/>
        <v>-4.4865335161901998E-2</v>
      </c>
      <c r="S79" s="3">
        <f t="shared" si="54"/>
        <v>1.2517579819821068E-2</v>
      </c>
      <c r="T79" s="3">
        <f t="shared" si="55"/>
        <v>1.9999578085433969E-2</v>
      </c>
      <c r="U79" s="3">
        <f t="shared" si="56"/>
        <v>7.5521376723397962E-3</v>
      </c>
      <c r="V79" s="3">
        <f t="shared" si="57"/>
        <v>-1.2289977037476829E-2</v>
      </c>
      <c r="W79" s="3">
        <f t="shared" si="58"/>
        <v>-1.2043642190021072E-2</v>
      </c>
      <c r="X79" s="3">
        <f t="shared" si="59"/>
        <v>-1.5709218841469892E-3</v>
      </c>
      <c r="Z79" s="33"/>
      <c r="AA79" s="33"/>
      <c r="AB79" s="33"/>
      <c r="AC79" s="33"/>
      <c r="AD79" s="33"/>
      <c r="AE79" s="33"/>
      <c r="AF79" s="33"/>
      <c r="AG79" s="33"/>
      <c r="AH79" s="33"/>
      <c r="AK79" s="3"/>
      <c r="AL79" s="8"/>
      <c r="AW79" s="3"/>
      <c r="AY79" s="5"/>
      <c r="AZ79" s="28">
        <v>44266</v>
      </c>
      <c r="BA79" s="3">
        <f t="shared" si="68"/>
        <v>74</v>
      </c>
      <c r="BB79" s="3">
        <f t="shared" si="60"/>
        <v>1.1542586738142344</v>
      </c>
      <c r="BC79" s="3">
        <f t="shared" si="61"/>
        <v>1.1491448033683964</v>
      </c>
      <c r="BD79" s="3">
        <f t="shared" si="62"/>
        <v>2.0038610328639179</v>
      </c>
      <c r="BE79" s="3">
        <f t="shared" si="63"/>
        <v>1.3498933836850577</v>
      </c>
      <c r="BG79" s="3">
        <f t="shared" si="64"/>
        <v>-9.7841144904691722E-3</v>
      </c>
      <c r="BH79" s="3">
        <f t="shared" si="65"/>
        <v>-9.0472399257138427E-3</v>
      </c>
      <c r="BI79" s="3">
        <f t="shared" si="66"/>
        <v>-1.0700129526248681E-2</v>
      </c>
      <c r="BJ79" s="3">
        <f t="shared" si="67"/>
        <v>-1.0958492120170771E-2</v>
      </c>
    </row>
    <row r="80" spans="1:62" ht="13.5" x14ac:dyDescent="0.2">
      <c r="A80" s="28">
        <v>44271</v>
      </c>
      <c r="B80" s="29">
        <v>236.27693199999999</v>
      </c>
      <c r="C80" s="29">
        <v>124.987122</v>
      </c>
      <c r="D80" s="29">
        <v>3091.860107</v>
      </c>
      <c r="E80" s="29">
        <v>2083.889893</v>
      </c>
      <c r="F80" s="29">
        <v>676.88000499999998</v>
      </c>
      <c r="G80" s="29">
        <v>2092.5200199999999</v>
      </c>
      <c r="H80" s="29">
        <v>279.27999899999998</v>
      </c>
      <c r="I80" s="29">
        <v>132.84236100000001</v>
      </c>
      <c r="J80" s="29">
        <v>251.5</v>
      </c>
      <c r="K80" s="29">
        <v>150.82789600000001</v>
      </c>
      <c r="L80" s="26">
        <v>3962.71</v>
      </c>
      <c r="N80" s="3">
        <f t="shared" si="49"/>
        <v>-2.8225790515654251E-3</v>
      </c>
      <c r="O80" s="3">
        <f t="shared" si="50"/>
        <v>-6.47145533212291E-3</v>
      </c>
      <c r="P80" s="3">
        <f t="shared" si="51"/>
        <v>1.4089109294770258E-2</v>
      </c>
      <c r="Q80" s="3">
        <f t="shared" si="52"/>
        <v>-8.0166973217141678E-4</v>
      </c>
      <c r="R80" s="3">
        <f t="shared" si="53"/>
        <v>3.6168697268554484E-2</v>
      </c>
      <c r="S80" s="3">
        <f t="shared" si="54"/>
        <v>-6.8837461666053509E-4</v>
      </c>
      <c r="T80" s="3">
        <f t="shared" si="55"/>
        <v>1.6794624802792178E-2</v>
      </c>
      <c r="U80" s="3">
        <f t="shared" si="56"/>
        <v>3.7547391731719282E-3</v>
      </c>
      <c r="V80" s="3">
        <f t="shared" si="57"/>
        <v>1.9860979716293243E-3</v>
      </c>
      <c r="W80" s="3">
        <f t="shared" si="58"/>
        <v>1.0239911789269673E-2</v>
      </c>
      <c r="X80" s="3">
        <f t="shared" si="59"/>
        <v>2.8752053049775832E-3</v>
      </c>
      <c r="Z80" s="33"/>
      <c r="AA80" s="33"/>
      <c r="AB80" s="33"/>
      <c r="AC80" s="33"/>
      <c r="AD80" s="33"/>
      <c r="AE80" s="33"/>
      <c r="AF80" s="33"/>
      <c r="AG80" s="33"/>
      <c r="AH80" s="33"/>
      <c r="AK80" s="3"/>
      <c r="AL80" s="8"/>
      <c r="AW80" s="3"/>
      <c r="AY80" s="5"/>
      <c r="AZ80" s="28">
        <v>44267</v>
      </c>
      <c r="BA80" s="3">
        <f t="shared" si="68"/>
        <v>75</v>
      </c>
      <c r="BB80" s="3">
        <f t="shared" si="60"/>
        <v>1.1430203430082699</v>
      </c>
      <c r="BC80" s="3">
        <f t="shared" si="61"/>
        <v>1.1387951033283283</v>
      </c>
      <c r="BD80" s="3">
        <f t="shared" si="62"/>
        <v>1.9825337660030344</v>
      </c>
      <c r="BE80" s="3">
        <f t="shared" si="63"/>
        <v>1.3351813457812411</v>
      </c>
      <c r="BG80" s="3">
        <f t="shared" si="64"/>
        <v>5.8662264441094259E-3</v>
      </c>
      <c r="BH80" s="3">
        <f t="shared" si="65"/>
        <v>1.8189968240145465E-3</v>
      </c>
      <c r="BI80" s="3">
        <f t="shared" si="66"/>
        <v>1.4054667627400657E-2</v>
      </c>
      <c r="BJ80" s="3">
        <f t="shared" si="67"/>
        <v>2.3756198833785654E-2</v>
      </c>
    </row>
    <row r="81" spans="1:62" ht="13.5" x14ac:dyDescent="0.2">
      <c r="A81" s="28">
        <v>44272</v>
      </c>
      <c r="B81" s="29">
        <v>235.610962</v>
      </c>
      <c r="C81" s="29">
        <v>124.180885</v>
      </c>
      <c r="D81" s="29">
        <v>3135.7299800000001</v>
      </c>
      <c r="E81" s="29">
        <v>2082.219971</v>
      </c>
      <c r="F81" s="29">
        <v>701.80999799999995</v>
      </c>
      <c r="G81" s="29">
        <v>2091.080078</v>
      </c>
      <c r="H81" s="29">
        <v>284.01001000000002</v>
      </c>
      <c r="I81" s="29">
        <v>133.34208699999999</v>
      </c>
      <c r="J81" s="29">
        <v>252</v>
      </c>
      <c r="K81" s="29">
        <v>152.38029499999999</v>
      </c>
      <c r="L81" s="26">
        <v>3974.12</v>
      </c>
      <c r="N81" s="3">
        <f t="shared" si="49"/>
        <v>-2.7023949963726576E-2</v>
      </c>
      <c r="O81" s="3">
        <f t="shared" si="50"/>
        <v>-3.4493273411511378E-2</v>
      </c>
      <c r="P81" s="3">
        <f t="shared" si="51"/>
        <v>-3.4962965707410913E-2</v>
      </c>
      <c r="Q81" s="3">
        <f t="shared" si="52"/>
        <v>-2.9673977311154086E-2</v>
      </c>
      <c r="R81" s="3">
        <f t="shared" si="53"/>
        <v>-7.1840628375023141E-2</v>
      </c>
      <c r="S81" s="3">
        <f t="shared" si="54"/>
        <v>-2.6585582603550029E-2</v>
      </c>
      <c r="T81" s="3">
        <f t="shared" si="55"/>
        <v>-1.9160655686447092E-2</v>
      </c>
      <c r="U81" s="3">
        <f t="shared" si="56"/>
        <v>-4.7488664989347708E-2</v>
      </c>
      <c r="V81" s="3">
        <f t="shared" si="57"/>
        <v>1.8237605404565795E-3</v>
      </c>
      <c r="W81" s="3">
        <f t="shared" si="58"/>
        <v>1.6371804469118144E-2</v>
      </c>
      <c r="X81" s="3">
        <f t="shared" si="59"/>
        <v>-1.4870520601810135E-2</v>
      </c>
      <c r="Z81" s="33"/>
      <c r="AA81" s="33"/>
      <c r="AB81" s="33"/>
      <c r="AC81" s="33"/>
      <c r="AD81" s="33"/>
      <c r="AE81" s="33"/>
      <c r="AF81" s="33"/>
      <c r="AG81" s="33"/>
      <c r="AH81" s="33"/>
      <c r="AK81" s="3"/>
      <c r="AL81" s="8"/>
      <c r="AW81" s="3"/>
      <c r="AY81" s="5"/>
      <c r="AZ81" s="28">
        <v>44270</v>
      </c>
      <c r="BA81" s="3">
        <f t="shared" si="68"/>
        <v>76</v>
      </c>
      <c r="BB81" s="3">
        <f t="shared" si="60"/>
        <v>1.149745264842563</v>
      </c>
      <c r="BC81" s="3">
        <f t="shared" si="61"/>
        <v>1.1408684531411653</v>
      </c>
      <c r="BD81" s="3">
        <f t="shared" si="62"/>
        <v>2.0105943483155646</v>
      </c>
      <c r="BE81" s="3">
        <f t="shared" si="63"/>
        <v>1.3672799400297899</v>
      </c>
      <c r="BG81" s="3">
        <f t="shared" si="64"/>
        <v>-2.481556219253765E-4</v>
      </c>
      <c r="BH81" s="3">
        <f t="shared" si="65"/>
        <v>1.7496074591025334E-3</v>
      </c>
      <c r="BI81" s="3">
        <f t="shared" si="66"/>
        <v>-6.7053924640230571E-3</v>
      </c>
      <c r="BJ81" s="3">
        <f t="shared" si="67"/>
        <v>-1.728941109986435E-2</v>
      </c>
    </row>
    <row r="82" spans="1:62" ht="13.5" x14ac:dyDescent="0.2">
      <c r="A82" s="28">
        <v>44273</v>
      </c>
      <c r="B82" s="29">
        <v>229.32908599999999</v>
      </c>
      <c r="C82" s="29">
        <v>119.970512</v>
      </c>
      <c r="D82" s="29">
        <v>3027.98999</v>
      </c>
      <c r="E82" s="29">
        <v>2021.339966</v>
      </c>
      <c r="F82" s="29">
        <v>653.15997300000004</v>
      </c>
      <c r="G82" s="29">
        <v>2036.219971</v>
      </c>
      <c r="H82" s="29">
        <v>278.61999500000002</v>
      </c>
      <c r="I82" s="29">
        <v>127.15785200000001</v>
      </c>
      <c r="J82" s="29">
        <v>252.46000699999999</v>
      </c>
      <c r="K82" s="29">
        <v>154.89556899999999</v>
      </c>
      <c r="L82" s="26">
        <v>3915.46</v>
      </c>
      <c r="N82" s="3">
        <f t="shared" si="49"/>
        <v>-1.6050176350108716E-3</v>
      </c>
      <c r="O82" s="3">
        <f t="shared" si="50"/>
        <v>-4.4902503660458302E-3</v>
      </c>
      <c r="P82" s="3">
        <f t="shared" si="51"/>
        <v>1.5392850603380892E-2</v>
      </c>
      <c r="Q82" s="3">
        <f t="shared" si="52"/>
        <v>2.7764734390374433E-3</v>
      </c>
      <c r="R82" s="3">
        <f t="shared" si="53"/>
        <v>2.6146541226671734E-3</v>
      </c>
      <c r="S82" s="3">
        <f t="shared" si="54"/>
        <v>3.4220486956471124E-3</v>
      </c>
      <c r="T82" s="3">
        <f t="shared" si="55"/>
        <v>4.0411281368347512E-2</v>
      </c>
      <c r="U82" s="3">
        <f t="shared" si="56"/>
        <v>9.6409962732689463E-3</v>
      </c>
      <c r="V82" s="3">
        <f t="shared" si="57"/>
        <v>-5.8397304300933069E-3</v>
      </c>
      <c r="W82" s="3">
        <f t="shared" si="58"/>
        <v>-1.6049419737148379E-2</v>
      </c>
      <c r="X82" s="3">
        <f t="shared" si="59"/>
        <v>-6.0292060646939332E-4</v>
      </c>
      <c r="AK82" s="3"/>
      <c r="AL82" s="8"/>
      <c r="AW82" s="3"/>
      <c r="AY82" s="5"/>
      <c r="AZ82" s="28">
        <v>44271</v>
      </c>
      <c r="BA82" s="3">
        <f t="shared" si="68"/>
        <v>77</v>
      </c>
      <c r="BB82" s="3">
        <f t="shared" si="60"/>
        <v>1.149459984489736</v>
      </c>
      <c r="BC82" s="3">
        <f t="shared" si="61"/>
        <v>1.1428662722866438</v>
      </c>
      <c r="BD82" s="3">
        <f t="shared" si="62"/>
        <v>1.9971576237255182</v>
      </c>
      <c r="BE82" s="3">
        <f t="shared" si="63"/>
        <v>1.3438436586122158</v>
      </c>
      <c r="BG82" s="3">
        <f t="shared" si="64"/>
        <v>7.8538473259319695E-3</v>
      </c>
      <c r="BH82" s="3">
        <f t="shared" si="65"/>
        <v>5.3359094136380221E-3</v>
      </c>
      <c r="BI82" s="3">
        <f t="shared" si="66"/>
        <v>1.1836258328336001E-2</v>
      </c>
      <c r="BJ82" s="3">
        <f t="shared" si="67"/>
        <v>1.8515915720536385E-2</v>
      </c>
    </row>
    <row r="83" spans="1:62" ht="13.5" x14ac:dyDescent="0.2">
      <c r="A83" s="28">
        <v>44274</v>
      </c>
      <c r="B83" s="29">
        <v>228.96130400000001</v>
      </c>
      <c r="C83" s="29">
        <v>119.43302199999999</v>
      </c>
      <c r="D83" s="29">
        <v>3074.959961</v>
      </c>
      <c r="E83" s="29">
        <v>2026.959961</v>
      </c>
      <c r="F83" s="29">
        <v>654.86999500000002</v>
      </c>
      <c r="G83" s="29">
        <v>2043.1999510000001</v>
      </c>
      <c r="H83" s="29">
        <v>290.10998499999999</v>
      </c>
      <c r="I83" s="29">
        <v>128.38970900000001</v>
      </c>
      <c r="J83" s="29">
        <v>250.990005</v>
      </c>
      <c r="K83" s="29">
        <v>152.429428</v>
      </c>
      <c r="L83" s="26">
        <v>3913.1</v>
      </c>
      <c r="N83" s="3">
        <f t="shared" si="49"/>
        <v>2.4189622994786723E-2</v>
      </c>
      <c r="O83" s="3">
        <f t="shared" si="50"/>
        <v>2.7941708564255662E-2</v>
      </c>
      <c r="P83" s="3">
        <f t="shared" si="51"/>
        <v>1.1610587085059762E-2</v>
      </c>
      <c r="Q83" s="3">
        <f t="shared" si="52"/>
        <v>1.838493285874939E-3</v>
      </c>
      <c r="R83" s="3">
        <f t="shared" si="53"/>
        <v>2.2840977365734014E-2</v>
      </c>
      <c r="S83" s="3">
        <f t="shared" si="54"/>
        <v>-2.2588065793840255E-3</v>
      </c>
      <c r="T83" s="3">
        <f t="shared" si="55"/>
        <v>1.1753837142431499E-2</v>
      </c>
      <c r="U83" s="3">
        <f t="shared" si="56"/>
        <v>2.6161450348090524E-2</v>
      </c>
      <c r="V83" s="3">
        <f t="shared" si="57"/>
        <v>-2.5132315710376129E-3</v>
      </c>
      <c r="W83" s="3">
        <f t="shared" si="58"/>
        <v>-2.7246863083342052E-2</v>
      </c>
      <c r="X83" s="3">
        <f t="shared" si="59"/>
        <v>7.0005595506540804E-3</v>
      </c>
      <c r="AK83" s="3"/>
      <c r="AL83" s="8"/>
      <c r="AW83" s="3"/>
      <c r="AY83" s="5"/>
      <c r="AZ83" s="28">
        <v>44272</v>
      </c>
      <c r="BA83" s="3">
        <f t="shared" si="68"/>
        <v>78</v>
      </c>
      <c r="BB83" s="3">
        <f t="shared" si="60"/>
        <v>1.1585232117295534</v>
      </c>
      <c r="BC83" s="3">
        <f t="shared" si="61"/>
        <v>1.148980801968013</v>
      </c>
      <c r="BD83" s="3">
        <f t="shared" si="62"/>
        <v>2.0209369487824134</v>
      </c>
      <c r="BE83" s="3">
        <f t="shared" si="63"/>
        <v>1.3689579440234609</v>
      </c>
      <c r="BG83" s="3">
        <f t="shared" si="64"/>
        <v>-2.7091628616840068E-2</v>
      </c>
      <c r="BH83" s="3">
        <f t="shared" si="65"/>
        <v>-2.1072952191416205E-2</v>
      </c>
      <c r="BI83" s="3">
        <f t="shared" si="66"/>
        <v>-4.6042397644214625E-2</v>
      </c>
      <c r="BJ83" s="3">
        <f t="shared" si="67"/>
        <v>-6.9541893268235622E-2</v>
      </c>
    </row>
    <row r="84" spans="1:62" ht="13.5" x14ac:dyDescent="0.2">
      <c r="A84" s="28">
        <v>44277</v>
      </c>
      <c r="B84" s="29">
        <v>234.56732199999999</v>
      </c>
      <c r="C84" s="29">
        <v>122.817245</v>
      </c>
      <c r="D84" s="29">
        <v>3110.8701169999999</v>
      </c>
      <c r="E84" s="29">
        <v>2030.6899410000001</v>
      </c>
      <c r="F84" s="29">
        <v>670</v>
      </c>
      <c r="G84" s="29">
        <v>2038.589966</v>
      </c>
      <c r="H84" s="29">
        <v>293.540009</v>
      </c>
      <c r="I84" s="29">
        <v>131.79289199999999</v>
      </c>
      <c r="J84" s="29">
        <v>250.36000100000001</v>
      </c>
      <c r="K84" s="29">
        <v>148.33227500000001</v>
      </c>
      <c r="L84" s="26">
        <v>3940.59</v>
      </c>
      <c r="N84" s="3">
        <f t="shared" si="49"/>
        <v>6.7149750646744756E-3</v>
      </c>
      <c r="O84" s="3">
        <f t="shared" si="50"/>
        <v>-6.9125599458304057E-3</v>
      </c>
      <c r="P84" s="3">
        <f t="shared" si="51"/>
        <v>8.5238370121410844E-3</v>
      </c>
      <c r="Q84" s="3">
        <f t="shared" si="52"/>
        <v>5.2259269278155914E-3</v>
      </c>
      <c r="R84" s="3">
        <f t="shared" si="53"/>
        <v>-1.1770534583515563E-2</v>
      </c>
      <c r="S84" s="3">
        <f t="shared" si="54"/>
        <v>7.0242594328459185E-3</v>
      </c>
      <c r="T84" s="3">
        <f t="shared" si="55"/>
        <v>-9.9629491445603138E-3</v>
      </c>
      <c r="U84" s="3">
        <f t="shared" si="56"/>
        <v>-8.7974558407908823E-3</v>
      </c>
      <c r="V84" s="3">
        <f t="shared" si="57"/>
        <v>-8.221928539782996E-3</v>
      </c>
      <c r="W84" s="3">
        <f t="shared" si="58"/>
        <v>-1.0052305566464689E-2</v>
      </c>
      <c r="X84" s="3">
        <f t="shared" si="59"/>
        <v>-7.6601008099493138E-3</v>
      </c>
      <c r="AK84" s="3"/>
      <c r="AL84" s="8"/>
      <c r="AW84" s="3"/>
      <c r="AY84" s="5"/>
      <c r="AZ84" s="28">
        <v>44273</v>
      </c>
      <c r="BA84" s="3">
        <f t="shared" si="68"/>
        <v>79</v>
      </c>
      <c r="BB84" s="3">
        <f t="shared" si="60"/>
        <v>1.1275582703655966</v>
      </c>
      <c r="BC84" s="3">
        <f t="shared" si="61"/>
        <v>1.1250217154200062</v>
      </c>
      <c r="BD84" s="3">
        <f t="shared" si="62"/>
        <v>1.9299977599358429</v>
      </c>
      <c r="BE84" s="3">
        <f t="shared" si="63"/>
        <v>1.276992791737408</v>
      </c>
      <c r="BG84" s="3">
        <f t="shared" si="64"/>
        <v>3.8066081403324752E-3</v>
      </c>
      <c r="BH84" s="3">
        <f t="shared" si="65"/>
        <v>2.2050093185518923E-3</v>
      </c>
      <c r="BI84" s="3">
        <f t="shared" si="66"/>
        <v>3.328158475841109E-3</v>
      </c>
      <c r="BJ84" s="3">
        <f t="shared" si="67"/>
        <v>2.7326702312539613E-3</v>
      </c>
    </row>
    <row r="85" spans="1:62" ht="13.5" x14ac:dyDescent="0.2">
      <c r="A85" s="28">
        <v>44278</v>
      </c>
      <c r="B85" s="29">
        <v>236.14773600000001</v>
      </c>
      <c r="C85" s="29">
        <v>121.971191</v>
      </c>
      <c r="D85" s="29">
        <v>3137.5</v>
      </c>
      <c r="E85" s="29">
        <v>2041.329956</v>
      </c>
      <c r="F85" s="29">
        <v>662.15997300000004</v>
      </c>
      <c r="G85" s="29">
        <v>2052.959961</v>
      </c>
      <c r="H85" s="29">
        <v>290.63000499999998</v>
      </c>
      <c r="I85" s="29">
        <v>130.63853499999999</v>
      </c>
      <c r="J85" s="29">
        <v>248.30999800000001</v>
      </c>
      <c r="K85" s="29">
        <v>146.84866299999999</v>
      </c>
      <c r="L85" s="26">
        <v>3910.52</v>
      </c>
      <c r="N85" s="3">
        <f t="shared" si="49"/>
        <v>-8.9633805914717309E-3</v>
      </c>
      <c r="O85" s="3">
        <f t="shared" si="50"/>
        <v>-2.0196116455337899E-2</v>
      </c>
      <c r="P85" s="3">
        <f t="shared" si="51"/>
        <v>-1.6203861430650186E-2</v>
      </c>
      <c r="Q85" s="3">
        <f t="shared" si="52"/>
        <v>-4.3201979053269692E-3</v>
      </c>
      <c r="R85" s="3">
        <f t="shared" si="53"/>
        <v>-4.9358847065418737E-2</v>
      </c>
      <c r="S85" s="3">
        <f t="shared" si="54"/>
        <v>-3.8554773999409384E-3</v>
      </c>
      <c r="T85" s="3">
        <f t="shared" si="55"/>
        <v>-2.9647542887258356E-2</v>
      </c>
      <c r="U85" s="3">
        <f t="shared" si="56"/>
        <v>-3.327334887970592E-2</v>
      </c>
      <c r="V85" s="3">
        <f t="shared" si="57"/>
        <v>5.3018840991258627E-3</v>
      </c>
      <c r="W85" s="3">
        <f t="shared" si="58"/>
        <v>7.7312581517988629E-3</v>
      </c>
      <c r="X85" s="3">
        <f t="shared" si="59"/>
        <v>-5.4823039848238466E-3</v>
      </c>
      <c r="AK85" s="3"/>
      <c r="AL85" s="8"/>
      <c r="AW85" s="3"/>
      <c r="AY85" s="5"/>
      <c r="AZ85" s="28">
        <v>44274</v>
      </c>
      <c r="BA85" s="3">
        <f t="shared" si="68"/>
        <v>80</v>
      </c>
      <c r="BB85" s="3">
        <f t="shared" si="60"/>
        <v>1.1318586225412997</v>
      </c>
      <c r="BC85" s="3">
        <f t="shared" si="61"/>
        <v>1.1275051357623662</v>
      </c>
      <c r="BD85" s="3">
        <f t="shared" si="62"/>
        <v>1.936431799151042</v>
      </c>
      <c r="BE85" s="3">
        <f t="shared" si="63"/>
        <v>1.2804871642342495</v>
      </c>
      <c r="BG85" s="3">
        <f t="shared" si="64"/>
        <v>8.5505661835695405E-3</v>
      </c>
      <c r="BH85" s="3">
        <f t="shared" si="65"/>
        <v>6.0214380339804275E-3</v>
      </c>
      <c r="BI85" s="3">
        <f t="shared" si="66"/>
        <v>1.9343923894319572E-2</v>
      </c>
      <c r="BJ85" s="3">
        <f t="shared" si="67"/>
        <v>3.2090604333350654E-2</v>
      </c>
    </row>
    <row r="86" spans="1:62" ht="13.5" x14ac:dyDescent="0.2">
      <c r="A86" s="28">
        <v>44279</v>
      </c>
      <c r="B86" s="29">
        <v>234.04051200000001</v>
      </c>
      <c r="C86" s="29">
        <v>119.532555</v>
      </c>
      <c r="D86" s="29">
        <v>3087.070068</v>
      </c>
      <c r="E86" s="29">
        <v>2032.530029</v>
      </c>
      <c r="F86" s="29">
        <v>630.27002000000005</v>
      </c>
      <c r="G86" s="29">
        <v>2045.0600589999999</v>
      </c>
      <c r="H86" s="29">
        <v>282.14001500000001</v>
      </c>
      <c r="I86" s="29">
        <v>126.363274</v>
      </c>
      <c r="J86" s="29">
        <v>249.63000500000001</v>
      </c>
      <c r="K86" s="29">
        <v>147.98838799999999</v>
      </c>
      <c r="L86" s="26">
        <v>3889.14</v>
      </c>
      <c r="N86" s="3">
        <f t="shared" si="49"/>
        <v>-1.3339253866809819E-2</v>
      </c>
      <c r="O86" s="3">
        <f t="shared" si="50"/>
        <v>4.15490833083781E-3</v>
      </c>
      <c r="P86" s="3">
        <f t="shared" si="51"/>
        <v>-1.330783106798592E-2</v>
      </c>
      <c r="Q86" s="3">
        <f t="shared" si="52"/>
        <v>-3.4473885632827084E-5</v>
      </c>
      <c r="R86" s="3">
        <f t="shared" si="53"/>
        <v>1.5929058447314404E-2</v>
      </c>
      <c r="S86" s="3">
        <f t="shared" si="54"/>
        <v>-3.4238302708273832E-4</v>
      </c>
      <c r="T86" s="3">
        <f t="shared" si="55"/>
        <v>-1.2124042995813867E-2</v>
      </c>
      <c r="U86" s="3">
        <f t="shared" si="56"/>
        <v>-8.5590560749282014E-3</v>
      </c>
      <c r="V86" s="3">
        <f t="shared" si="57"/>
        <v>4.4765852319529082E-3</v>
      </c>
      <c r="W86" s="3">
        <f t="shared" si="58"/>
        <v>1.2732447237591784E-2</v>
      </c>
      <c r="X86" s="3">
        <f t="shared" si="59"/>
        <v>5.2265508159267142E-3</v>
      </c>
      <c r="AK86" s="3"/>
      <c r="AL86" s="8"/>
      <c r="AW86" s="3"/>
      <c r="AY86" s="5"/>
      <c r="AZ86" s="28">
        <v>44277</v>
      </c>
      <c r="BA86" s="3">
        <f t="shared" si="68"/>
        <v>81</v>
      </c>
      <c r="BB86" s="3">
        <f t="shared" si="60"/>
        <v>1.1415781491134862</v>
      </c>
      <c r="BC86" s="3">
        <f t="shared" si="61"/>
        <v>1.1343148195395156</v>
      </c>
      <c r="BD86" s="3">
        <f t="shared" si="62"/>
        <v>1.974254630087058</v>
      </c>
      <c r="BE86" s="3">
        <f t="shared" si="63"/>
        <v>1.322245208108892</v>
      </c>
      <c r="BG86" s="3">
        <f t="shared" si="64"/>
        <v>-3.0398970701632179E-3</v>
      </c>
      <c r="BH86" s="3">
        <f t="shared" si="65"/>
        <v>-2.2277187750049171E-3</v>
      </c>
      <c r="BI86" s="3">
        <f t="shared" si="66"/>
        <v>-3.2996436242270061E-3</v>
      </c>
      <c r="BJ86" s="3">
        <f t="shared" si="67"/>
        <v>-4.3867904804460716E-3</v>
      </c>
    </row>
    <row r="87" spans="1:62" ht="13.5" x14ac:dyDescent="0.2">
      <c r="A87" s="28">
        <v>44280</v>
      </c>
      <c r="B87" s="29">
        <v>230.93931599999999</v>
      </c>
      <c r="C87" s="29">
        <v>120.030235</v>
      </c>
      <c r="D87" s="29">
        <v>3046.26001</v>
      </c>
      <c r="E87" s="29">
        <v>2032.459961</v>
      </c>
      <c r="F87" s="29">
        <v>640.39001499999995</v>
      </c>
      <c r="G87" s="29">
        <v>2044.3599850000001</v>
      </c>
      <c r="H87" s="29">
        <v>278.73998999999998</v>
      </c>
      <c r="I87" s="29">
        <v>125.286339</v>
      </c>
      <c r="J87" s="29">
        <v>250.75</v>
      </c>
      <c r="K87" s="29">
        <v>149.88468900000001</v>
      </c>
      <c r="L87" s="26">
        <v>3909.52</v>
      </c>
      <c r="N87" s="3">
        <f t="shared" si="49"/>
        <v>1.7661733982173612E-2</v>
      </c>
      <c r="O87" s="3">
        <f t="shared" si="50"/>
        <v>5.1282575543245565E-3</v>
      </c>
      <c r="P87" s="3">
        <f t="shared" si="51"/>
        <v>1.8923405364279888E-3</v>
      </c>
      <c r="Q87" s="3">
        <f t="shared" si="52"/>
        <v>-3.8105144031695703E-3</v>
      </c>
      <c r="R87" s="3">
        <f t="shared" si="53"/>
        <v>-3.4440688296957428E-2</v>
      </c>
      <c r="S87" s="3">
        <f t="shared" si="54"/>
        <v>-4.3186980200705704E-3</v>
      </c>
      <c r="T87" s="3">
        <f t="shared" si="55"/>
        <v>1.5238115842077017E-2</v>
      </c>
      <c r="U87" s="3">
        <f t="shared" si="56"/>
        <v>2.3962112448152672E-2</v>
      </c>
      <c r="V87" s="3">
        <f t="shared" si="57"/>
        <v>2.3724272879686648E-2</v>
      </c>
      <c r="W87" s="3">
        <f t="shared" si="58"/>
        <v>1.6513078528446388E-2</v>
      </c>
      <c r="X87" s="3">
        <f t="shared" si="59"/>
        <v>1.6494413826353246E-2</v>
      </c>
      <c r="AK87" s="3"/>
      <c r="AL87" s="8"/>
      <c r="AW87" s="3"/>
      <c r="AY87" s="5"/>
      <c r="AZ87" s="28">
        <v>44278</v>
      </c>
      <c r="BA87" s="3">
        <f t="shared" si="68"/>
        <v>82</v>
      </c>
      <c r="BB87" s="3">
        <f t="shared" si="60"/>
        <v>1.1381131383490084</v>
      </c>
      <c r="BC87" s="3">
        <f t="shared" si="61"/>
        <v>1.1317906976799676</v>
      </c>
      <c r="BD87" s="3">
        <f t="shared" si="62"/>
        <v>1.9677510290678515</v>
      </c>
      <c r="BE87" s="3">
        <f t="shared" si="63"/>
        <v>1.3164574994313287</v>
      </c>
      <c r="BG87" s="3">
        <f t="shared" si="64"/>
        <v>-1.5066497679312283E-2</v>
      </c>
      <c r="BH87" s="3">
        <f t="shared" si="65"/>
        <v>-1.0185013550910445E-2</v>
      </c>
      <c r="BI87" s="3">
        <f t="shared" si="66"/>
        <v>-2.661292220631413E-2</v>
      </c>
      <c r="BJ87" s="3">
        <f t="shared" si="67"/>
        <v>-4.190587625649287E-2</v>
      </c>
    </row>
    <row r="88" spans="1:62" ht="13.5" x14ac:dyDescent="0.2">
      <c r="A88" s="28">
        <v>44281</v>
      </c>
      <c r="B88" s="29">
        <v>235.054337</v>
      </c>
      <c r="C88" s="29">
        <v>120.647362</v>
      </c>
      <c r="D88" s="29">
        <v>3052.030029</v>
      </c>
      <c r="E88" s="29">
        <v>2024.7299800000001</v>
      </c>
      <c r="F88" s="29">
        <v>618.71002199999998</v>
      </c>
      <c r="G88" s="29">
        <v>2035.5500489999999</v>
      </c>
      <c r="H88" s="29">
        <v>283.01998900000001</v>
      </c>
      <c r="I88" s="29">
        <v>128.32472200000001</v>
      </c>
      <c r="J88" s="29">
        <v>256.76998900000001</v>
      </c>
      <c r="K88" s="29">
        <v>152.38029499999999</v>
      </c>
      <c r="L88" s="26">
        <v>3974.54</v>
      </c>
      <c r="N88" s="3">
        <f t="shared" si="49"/>
        <v>-5.2572593978742772E-3</v>
      </c>
      <c r="O88" s="3">
        <f t="shared" si="50"/>
        <v>1.4838957254135385E-3</v>
      </c>
      <c r="P88" s="3">
        <f t="shared" si="51"/>
        <v>7.735312459714652E-3</v>
      </c>
      <c r="Q88" s="3">
        <f t="shared" si="52"/>
        <v>1.0347693571384238E-2</v>
      </c>
      <c r="R88" s="3">
        <f t="shared" si="53"/>
        <v>-1.2065258555098509E-2</v>
      </c>
      <c r="S88" s="3">
        <f t="shared" si="54"/>
        <v>9.9719276772766256E-3</v>
      </c>
      <c r="T88" s="3">
        <f t="shared" si="55"/>
        <v>2.7187015497497174E-2</v>
      </c>
      <c r="U88" s="3">
        <f t="shared" si="56"/>
        <v>8.4539316843934079E-3</v>
      </c>
      <c r="V88" s="3">
        <f t="shared" si="57"/>
        <v>7.9521667176153492E-3</v>
      </c>
      <c r="W88" s="3">
        <f t="shared" si="58"/>
        <v>-1.566134631578997E-2</v>
      </c>
      <c r="X88" s="3">
        <f t="shared" si="59"/>
        <v>-8.6840193082478952E-4</v>
      </c>
      <c r="AK88" s="3"/>
      <c r="AL88" s="8"/>
      <c r="AW88" s="3"/>
      <c r="AY88" s="5"/>
      <c r="AZ88" s="28">
        <v>44279</v>
      </c>
      <c r="BA88" s="3">
        <f t="shared" si="68"/>
        <v>83</v>
      </c>
      <c r="BB88" s="3">
        <f t="shared" si="60"/>
        <v>1.1210942885594795</v>
      </c>
      <c r="BC88" s="3">
        <f t="shared" si="61"/>
        <v>1.1203218981688643</v>
      </c>
      <c r="BD88" s="3">
        <f t="shared" si="62"/>
        <v>1.9160741108802291</v>
      </c>
      <c r="BE88" s="3">
        <f t="shared" si="63"/>
        <v>1.2624301326707881</v>
      </c>
      <c r="BG88" s="3">
        <f t="shared" si="64"/>
        <v>-2.212503403928882E-4</v>
      </c>
      <c r="BH88" s="3">
        <f t="shared" si="65"/>
        <v>-6.8786947543704132E-4</v>
      </c>
      <c r="BI88" s="3">
        <f t="shared" si="66"/>
        <v>1.1297505154085846E-3</v>
      </c>
      <c r="BJ88" s="3">
        <f t="shared" si="67"/>
        <v>3.82749400007422E-3</v>
      </c>
    </row>
    <row r="89" spans="1:62" ht="13.5" x14ac:dyDescent="0.2">
      <c r="A89" s="28">
        <v>44284</v>
      </c>
      <c r="B89" s="29">
        <v>233.82183800000001</v>
      </c>
      <c r="C89" s="29">
        <v>120.82652299999999</v>
      </c>
      <c r="D89" s="29">
        <v>3075.7299800000001</v>
      </c>
      <c r="E89" s="29">
        <v>2045.790039</v>
      </c>
      <c r="F89" s="29">
        <v>611.28997800000002</v>
      </c>
      <c r="G89" s="29">
        <v>2055.9499510000001</v>
      </c>
      <c r="H89" s="29">
        <v>290.82000699999998</v>
      </c>
      <c r="I89" s="29">
        <v>129.41416899999999</v>
      </c>
      <c r="J89" s="29">
        <v>258.82000699999998</v>
      </c>
      <c r="K89" s="29">
        <v>150.012405</v>
      </c>
      <c r="L89" s="26">
        <v>3971.09</v>
      </c>
      <c r="N89" s="3">
        <f t="shared" si="49"/>
        <v>-1.4515675545159023E-2</v>
      </c>
      <c r="O89" s="3">
        <f t="shared" si="50"/>
        <v>-1.2350460912689955E-2</v>
      </c>
      <c r="P89" s="3">
        <f t="shared" si="51"/>
        <v>-6.6677377220797068E-3</v>
      </c>
      <c r="Q89" s="3">
        <f t="shared" si="52"/>
        <v>3.3230146891714715E-4</v>
      </c>
      <c r="R89" s="3">
        <f t="shared" si="53"/>
        <v>3.9029450300860892E-2</v>
      </c>
      <c r="S89" s="3">
        <f t="shared" si="54"/>
        <v>-1.9939827281850511E-4</v>
      </c>
      <c r="T89" s="3">
        <f t="shared" si="55"/>
        <v>-9.7440630192646982E-3</v>
      </c>
      <c r="U89" s="3">
        <f t="shared" si="56"/>
        <v>-5.9255841570335106E-3</v>
      </c>
      <c r="V89" s="3">
        <f t="shared" si="57"/>
        <v>-2.4371106975092059E-3</v>
      </c>
      <c r="W89" s="3">
        <f t="shared" si="58"/>
        <v>1.1720339396333244E-2</v>
      </c>
      <c r="X89" s="3">
        <f t="shared" si="59"/>
        <v>-3.1628196118815713E-3</v>
      </c>
      <c r="AK89" s="3"/>
      <c r="AL89" s="8"/>
      <c r="AW89" s="3"/>
      <c r="AY89" s="5"/>
      <c r="AZ89" s="28">
        <v>44280</v>
      </c>
      <c r="BA89" s="3">
        <f t="shared" si="68"/>
        <v>84</v>
      </c>
      <c r="BB89" s="3">
        <f t="shared" si="60"/>
        <v>1.1208462735042426</v>
      </c>
      <c r="BC89" s="3">
        <f t="shared" si="61"/>
        <v>1.1195515279199157</v>
      </c>
      <c r="BD89" s="3">
        <f t="shared" si="62"/>
        <v>1.9182400198325655</v>
      </c>
      <c r="BE89" s="3">
        <f t="shared" si="63"/>
        <v>1.2672713353560305</v>
      </c>
      <c r="BG89" s="3">
        <f t="shared" si="64"/>
        <v>5.4317930479737186E-3</v>
      </c>
      <c r="BH89" s="3">
        <f t="shared" si="65"/>
        <v>8.7052735309011663E-3</v>
      </c>
      <c r="BI89" s="3">
        <f t="shared" si="66"/>
        <v>-4.3718312990084478E-3</v>
      </c>
      <c r="BJ89" s="3">
        <f t="shared" si="67"/>
        <v>-1.8108938772048572E-2</v>
      </c>
    </row>
    <row r="90" spans="1:62" ht="13.5" x14ac:dyDescent="0.2">
      <c r="A90" s="28">
        <v>44285</v>
      </c>
      <c r="B90" s="29">
        <v>230.452271</v>
      </c>
      <c r="C90" s="29">
        <v>119.34343699999999</v>
      </c>
      <c r="D90" s="29">
        <v>3055.290039</v>
      </c>
      <c r="E90" s="29">
        <v>2046.469971</v>
      </c>
      <c r="F90" s="29">
        <v>635.61999500000002</v>
      </c>
      <c r="G90" s="29">
        <v>2055.540039</v>
      </c>
      <c r="H90" s="29">
        <v>288</v>
      </c>
      <c r="I90" s="29">
        <v>128.64958200000001</v>
      </c>
      <c r="J90" s="29">
        <v>258.19000199999999</v>
      </c>
      <c r="K90" s="29">
        <v>151.780945</v>
      </c>
      <c r="L90" s="26">
        <v>3958.55</v>
      </c>
      <c r="N90" s="3">
        <f t="shared" si="49"/>
        <v>1.6766117445963583E-2</v>
      </c>
      <c r="O90" s="3">
        <f t="shared" si="50"/>
        <v>1.8591795380931735E-2</v>
      </c>
      <c r="P90" s="3">
        <f t="shared" si="51"/>
        <v>1.261610628914869E-2</v>
      </c>
      <c r="Q90" s="3">
        <f t="shared" si="52"/>
        <v>7.8122023483251811E-3</v>
      </c>
      <c r="R90" s="3">
        <f t="shared" si="53"/>
        <v>4.9582474514247445E-2</v>
      </c>
      <c r="S90" s="3">
        <f t="shared" si="54"/>
        <v>6.3478897343764162E-3</v>
      </c>
      <c r="T90" s="3">
        <f t="shared" si="55"/>
        <v>2.242038194446281E-2</v>
      </c>
      <c r="U90" s="3">
        <f t="shared" si="56"/>
        <v>3.6350154649021825E-2</v>
      </c>
      <c r="V90" s="3">
        <f t="shared" si="57"/>
        <v>-1.0590765907365827E-2</v>
      </c>
      <c r="W90" s="3">
        <f t="shared" si="58"/>
        <v>-1.4672141259292514E-2</v>
      </c>
      <c r="X90" s="3">
        <f t="shared" si="59"/>
        <v>3.6159929659948988E-3</v>
      </c>
      <c r="AK90" s="3"/>
      <c r="AL90" s="8"/>
      <c r="AW90" s="3"/>
      <c r="AY90" s="5"/>
      <c r="AZ90" s="28">
        <v>44281</v>
      </c>
      <c r="BA90" s="3">
        <f t="shared" si="68"/>
        <v>85</v>
      </c>
      <c r="BB90" s="3">
        <f t="shared" si="60"/>
        <v>1.1269510434141101</v>
      </c>
      <c r="BC90" s="3">
        <f t="shared" si="61"/>
        <v>1.1293400743735205</v>
      </c>
      <c r="BD90" s="3">
        <f t="shared" si="62"/>
        <v>1.9098721029632213</v>
      </c>
      <c r="BE90" s="3">
        <f t="shared" si="63"/>
        <v>1.2445289381719691</v>
      </c>
      <c r="BG90" s="3">
        <f t="shared" si="64"/>
        <v>3.2829069242304712E-3</v>
      </c>
      <c r="BH90" s="3">
        <f t="shared" si="65"/>
        <v>3.6291326747949016E-3</v>
      </c>
      <c r="BI90" s="3">
        <f t="shared" si="66"/>
        <v>-7.0171591494890386E-4</v>
      </c>
      <c r="BJ90" s="3">
        <f t="shared" si="67"/>
        <v>-6.5819662580878947E-3</v>
      </c>
    </row>
    <row r="91" spans="1:62" ht="13.5" x14ac:dyDescent="0.2">
      <c r="A91" s="28">
        <v>44286</v>
      </c>
      <c r="B91" s="29">
        <v>234.34863300000001</v>
      </c>
      <c r="C91" s="29">
        <v>121.583</v>
      </c>
      <c r="D91" s="29">
        <v>3094.080078</v>
      </c>
      <c r="E91" s="29">
        <v>2062.5200199999999</v>
      </c>
      <c r="F91" s="29">
        <v>667.92999299999997</v>
      </c>
      <c r="G91" s="29">
        <v>2068.6298830000001</v>
      </c>
      <c r="H91" s="29">
        <v>294.52999899999998</v>
      </c>
      <c r="I91" s="29">
        <v>133.412048</v>
      </c>
      <c r="J91" s="29">
        <v>255.470001</v>
      </c>
      <c r="K91" s="29">
        <v>149.57025100000001</v>
      </c>
      <c r="L91" s="26">
        <v>3972.89</v>
      </c>
      <c r="N91" s="3">
        <f t="shared" si="49"/>
        <v>2.7526197532640666E-2</v>
      </c>
      <c r="O91" s="3">
        <f t="shared" si="50"/>
        <v>6.9344968884798696E-3</v>
      </c>
      <c r="P91" s="3">
        <f t="shared" si="51"/>
        <v>2.1397799711003095E-2</v>
      </c>
      <c r="Q91" s="3">
        <f t="shared" si="52"/>
        <v>3.2090155772124852E-2</v>
      </c>
      <c r="R91" s="3">
        <f t="shared" si="53"/>
        <v>-9.2955260392336304E-3</v>
      </c>
      <c r="S91" s="3">
        <f t="shared" si="54"/>
        <v>3.2867378194576836E-2</v>
      </c>
      <c r="T91" s="3">
        <f t="shared" si="55"/>
        <v>1.3924953941869716E-2</v>
      </c>
      <c r="U91" s="3">
        <f t="shared" si="56"/>
        <v>3.4134275686412766E-2</v>
      </c>
      <c r="V91" s="3">
        <f t="shared" si="57"/>
        <v>1.0629535053669533E-2</v>
      </c>
      <c r="W91" s="3">
        <f t="shared" si="58"/>
        <v>9.6753170511445687E-3</v>
      </c>
      <c r="X91" s="3">
        <f t="shared" si="59"/>
        <v>1.1755774236888511E-2</v>
      </c>
      <c r="AK91" s="3"/>
      <c r="AL91" s="8"/>
      <c r="AW91" s="3"/>
      <c r="AY91" s="5"/>
      <c r="AZ91" s="28">
        <v>44284</v>
      </c>
      <c r="BA91" s="3">
        <f t="shared" si="68"/>
        <v>86</v>
      </c>
      <c r="BB91" s="3">
        <f t="shared" si="60"/>
        <v>1.1306567982937563</v>
      </c>
      <c r="BC91" s="3">
        <f t="shared" si="61"/>
        <v>1.1334460453886623</v>
      </c>
      <c r="BD91" s="3">
        <f t="shared" si="62"/>
        <v>1.90853238541859</v>
      </c>
      <c r="BE91" s="3">
        <f t="shared" si="63"/>
        <v>1.2363643895609926</v>
      </c>
      <c r="BG91" s="3">
        <f t="shared" si="64"/>
        <v>9.8396595986339542E-4</v>
      </c>
      <c r="BH91" s="3">
        <f t="shared" si="65"/>
        <v>-1.436239874111101E-3</v>
      </c>
      <c r="BI91" s="3">
        <f t="shared" si="66"/>
        <v>6.2713329652715555E-3</v>
      </c>
      <c r="BJ91" s="3">
        <f t="shared" si="67"/>
        <v>1.5093766865252852E-2</v>
      </c>
    </row>
    <row r="92" spans="1:62" ht="13.5" x14ac:dyDescent="0.2">
      <c r="A92" s="28">
        <v>44287</v>
      </c>
      <c r="B92" s="29">
        <v>240.88896199999999</v>
      </c>
      <c r="C92" s="29">
        <v>122.429047</v>
      </c>
      <c r="D92" s="29">
        <v>3161</v>
      </c>
      <c r="E92" s="29">
        <v>2129.780029</v>
      </c>
      <c r="F92" s="29">
        <v>661.75</v>
      </c>
      <c r="G92" s="29">
        <v>2137.75</v>
      </c>
      <c r="H92" s="29">
        <v>298.66000400000001</v>
      </c>
      <c r="I92" s="29">
        <v>138.04458600000001</v>
      </c>
      <c r="J92" s="29">
        <v>258.20001200000002</v>
      </c>
      <c r="K92" s="29">
        <v>151.02441400000001</v>
      </c>
      <c r="L92" s="26">
        <v>4019.87</v>
      </c>
      <c r="N92" s="3">
        <f t="shared" si="49"/>
        <v>2.7351085327861457E-2</v>
      </c>
      <c r="O92" s="3">
        <f t="shared" si="50"/>
        <v>2.3303685374144845E-2</v>
      </c>
      <c r="P92" s="3">
        <f t="shared" si="51"/>
        <v>2.0580801095214783E-2</v>
      </c>
      <c r="Q92" s="3">
        <f t="shared" si="52"/>
        <v>4.1019898455901642E-2</v>
      </c>
      <c r="R92" s="3">
        <f t="shared" si="53"/>
        <v>4.3324321577945343E-2</v>
      </c>
      <c r="S92" s="3">
        <f t="shared" si="54"/>
        <v>4.025022404587697E-2</v>
      </c>
      <c r="T92" s="3">
        <f t="shared" si="55"/>
        <v>3.3744169263245749E-2</v>
      </c>
      <c r="U92" s="3">
        <f t="shared" si="56"/>
        <v>1.2644536155152701E-2</v>
      </c>
      <c r="V92" s="3">
        <f t="shared" si="57"/>
        <v>1.7125910497685193E-2</v>
      </c>
      <c r="W92" s="3">
        <f t="shared" si="58"/>
        <v>5.2866143806108191E-3</v>
      </c>
      <c r="X92" s="3">
        <f t="shared" si="59"/>
        <v>1.4335038467166317E-2</v>
      </c>
      <c r="AK92" s="3"/>
      <c r="AL92" s="8"/>
      <c r="AW92" s="3"/>
      <c r="AY92" s="5"/>
      <c r="AZ92" s="28">
        <v>44285</v>
      </c>
      <c r="BA92" s="3">
        <f t="shared" si="68"/>
        <v>87</v>
      </c>
      <c r="BB92" s="3">
        <f t="shared" si="60"/>
        <v>1.1317698736198758</v>
      </c>
      <c r="BC92" s="3">
        <f t="shared" si="61"/>
        <v>1.1318193134513912</v>
      </c>
      <c r="BD92" s="3">
        <f t="shared" si="62"/>
        <v>1.9205390369860511</v>
      </c>
      <c r="BE92" s="3">
        <f t="shared" si="63"/>
        <v>1.2551673320574122</v>
      </c>
      <c r="BG92" s="3">
        <f t="shared" si="64"/>
        <v>1.4214439540843159E-2</v>
      </c>
      <c r="BH92" s="3">
        <f t="shared" si="65"/>
        <v>9.0432538392134672E-3</v>
      </c>
      <c r="BI92" s="3">
        <f t="shared" si="66"/>
        <v>2.8168427008857341E-2</v>
      </c>
      <c r="BJ92" s="3">
        <f t="shared" si="67"/>
        <v>4.6098294983924398E-2</v>
      </c>
    </row>
    <row r="93" spans="1:62" ht="13.5" x14ac:dyDescent="0.2">
      <c r="A93" s="28">
        <v>44291</v>
      </c>
      <c r="B93" s="29">
        <v>247.568466</v>
      </c>
      <c r="C93" s="29">
        <v>125.31559799999999</v>
      </c>
      <c r="D93" s="29">
        <v>3226.7299800000001</v>
      </c>
      <c r="E93" s="29">
        <v>2218.959961</v>
      </c>
      <c r="F93" s="29">
        <v>691.04998799999998</v>
      </c>
      <c r="G93" s="29">
        <v>2225.5500489999999</v>
      </c>
      <c r="H93" s="29">
        <v>308.91000400000001</v>
      </c>
      <c r="I93" s="29">
        <v>139.80117799999999</v>
      </c>
      <c r="J93" s="29">
        <v>262.66000400000001</v>
      </c>
      <c r="K93" s="29">
        <v>151.82493600000001</v>
      </c>
      <c r="L93" s="26">
        <v>4077.91</v>
      </c>
      <c r="N93" s="3">
        <f t="shared" si="49"/>
        <v>-4.8699415052835303E-3</v>
      </c>
      <c r="O93" s="3">
        <f t="shared" si="50"/>
        <v>2.4591971122402303E-3</v>
      </c>
      <c r="P93" s="3">
        <f t="shared" si="51"/>
        <v>-9.0222141545657987E-4</v>
      </c>
      <c r="Q93" s="3">
        <f t="shared" si="52"/>
        <v>-4.3809777191535114E-3</v>
      </c>
      <c r="R93" s="3">
        <f t="shared" si="53"/>
        <v>8.2450192641682493E-4</v>
      </c>
      <c r="S93" s="3">
        <f t="shared" si="54"/>
        <v>-3.5954834496999724E-4</v>
      </c>
      <c r="T93" s="3">
        <f t="shared" si="55"/>
        <v>-8.6155382464682406E-3</v>
      </c>
      <c r="U93" s="3">
        <f t="shared" si="56"/>
        <v>-9.0488822184817495E-3</v>
      </c>
      <c r="V93" s="3">
        <f t="shared" si="57"/>
        <v>1.5217000519776637E-3</v>
      </c>
      <c r="W93" s="3">
        <f t="shared" si="58"/>
        <v>-7.0550835766703106E-3</v>
      </c>
      <c r="X93" s="3">
        <f t="shared" si="59"/>
        <v>-9.7401211108184122E-4</v>
      </c>
      <c r="AK93" s="3"/>
      <c r="AL93" s="8"/>
      <c r="AW93" s="3"/>
      <c r="AY93" s="5"/>
      <c r="AZ93" s="28">
        <v>44286</v>
      </c>
      <c r="BA93" s="3">
        <f t="shared" si="68"/>
        <v>88</v>
      </c>
      <c r="BB93" s="3">
        <f t="shared" si="60"/>
        <v>1.1479722289561336</v>
      </c>
      <c r="BC93" s="3">
        <f t="shared" si="61"/>
        <v>1.142101062968047</v>
      </c>
      <c r="BD93" s="3">
        <f t="shared" si="62"/>
        <v>1.9754067412307788</v>
      </c>
      <c r="BE93" s="3">
        <f t="shared" si="63"/>
        <v>1.3143827857516892</v>
      </c>
      <c r="BG93" s="3">
        <f t="shared" si="64"/>
        <v>1.7423421067745883E-2</v>
      </c>
      <c r="BH93" s="3">
        <f t="shared" si="65"/>
        <v>1.8485407559439546E-2</v>
      </c>
      <c r="BI93" s="3">
        <f t="shared" si="66"/>
        <v>1.4287540812731781E-2</v>
      </c>
      <c r="BJ93" s="3">
        <f t="shared" si="67"/>
        <v>8.3119531249282088E-3</v>
      </c>
    </row>
    <row r="94" spans="1:62" ht="13.5" x14ac:dyDescent="0.2">
      <c r="A94" s="28">
        <v>44292</v>
      </c>
      <c r="B94" s="29">
        <v>246.36575300000001</v>
      </c>
      <c r="C94" s="29">
        <v>125.62415300000001</v>
      </c>
      <c r="D94" s="29">
        <v>3223.820068</v>
      </c>
      <c r="E94" s="29">
        <v>2209.26001</v>
      </c>
      <c r="F94" s="29">
        <v>691.61999500000002</v>
      </c>
      <c r="G94" s="29">
        <v>2224.75</v>
      </c>
      <c r="H94" s="29">
        <v>306.26001000000002</v>
      </c>
      <c r="I94" s="29">
        <v>138.54184000000001</v>
      </c>
      <c r="J94" s="29">
        <v>263.05999800000001</v>
      </c>
      <c r="K94" s="29">
        <v>150.75756799999999</v>
      </c>
      <c r="L94" s="26">
        <v>4073.94</v>
      </c>
      <c r="N94" s="3">
        <f t="shared" si="49"/>
        <v>8.1967403484710186E-3</v>
      </c>
      <c r="O94" s="3">
        <f t="shared" si="50"/>
        <v>1.3301496507230308E-2</v>
      </c>
      <c r="P94" s="3">
        <f t="shared" si="51"/>
        <v>1.7090383949429449E-2</v>
      </c>
      <c r="Q94" s="3">
        <f t="shared" si="52"/>
        <v>1.3385126962529482E-2</v>
      </c>
      <c r="R94" s="3">
        <f t="shared" si="53"/>
        <v>-3.0312281249366552E-2</v>
      </c>
      <c r="S94" s="3">
        <f t="shared" si="54"/>
        <v>1.1143403898211255E-2</v>
      </c>
      <c r="T94" s="3">
        <f t="shared" si="55"/>
        <v>2.2056229329635451E-2</v>
      </c>
      <c r="U94" s="3">
        <f t="shared" si="56"/>
        <v>2.0140050347287566E-2</v>
      </c>
      <c r="V94" s="3">
        <f t="shared" si="57"/>
        <v>2.1265178798207784E-3</v>
      </c>
      <c r="W94" s="3">
        <f t="shared" si="58"/>
        <v>1.5546468096524635E-2</v>
      </c>
      <c r="X94" s="3">
        <f t="shared" si="59"/>
        <v>1.4741432833555816E-3</v>
      </c>
      <c r="AK94" s="3"/>
      <c r="AL94" s="8"/>
      <c r="AW94" s="3"/>
      <c r="AY94" s="5"/>
      <c r="AZ94" s="28">
        <v>44287</v>
      </c>
      <c r="BA94" s="3">
        <f t="shared" si="68"/>
        <v>89</v>
      </c>
      <c r="BB94" s="3">
        <f t="shared" si="60"/>
        <v>1.1681490970787216</v>
      </c>
      <c r="BC94" s="3">
        <f t="shared" si="61"/>
        <v>1.1634096083887286</v>
      </c>
      <c r="BD94" s="3">
        <f t="shared" si="62"/>
        <v>2.0038330330074947</v>
      </c>
      <c r="BE94" s="3">
        <f t="shared" si="63"/>
        <v>1.3253534043267921</v>
      </c>
      <c r="BG94" s="3">
        <f t="shared" si="64"/>
        <v>2.68439941028451E-2</v>
      </c>
      <c r="BH94" s="3">
        <f t="shared" si="65"/>
        <v>2.5414851252551697E-2</v>
      </c>
      <c r="BI94" s="3">
        <f t="shared" si="66"/>
        <v>3.089679756466757E-2</v>
      </c>
      <c r="BJ94" s="3">
        <f t="shared" si="67"/>
        <v>3.5838613250178501E-2</v>
      </c>
    </row>
    <row r="95" spans="1:62" ht="13.5" x14ac:dyDescent="0.2">
      <c r="A95" s="28">
        <v>44293</v>
      </c>
      <c r="B95" s="29">
        <v>248.39344800000001</v>
      </c>
      <c r="C95" s="29">
        <v>127.30630499999999</v>
      </c>
      <c r="D95" s="29">
        <v>3279.389893</v>
      </c>
      <c r="E95" s="29">
        <v>2239.030029</v>
      </c>
      <c r="F95" s="29">
        <v>670.96997099999999</v>
      </c>
      <c r="G95" s="29">
        <v>2249.679932</v>
      </c>
      <c r="H95" s="29">
        <v>313.08999599999999</v>
      </c>
      <c r="I95" s="29">
        <v>141.360367</v>
      </c>
      <c r="J95" s="29">
        <v>263.61999500000002</v>
      </c>
      <c r="K95" s="29">
        <v>153.119629</v>
      </c>
      <c r="L95" s="26">
        <v>4079.95</v>
      </c>
      <c r="N95" s="3">
        <f t="shared" si="49"/>
        <v>1.3316300819288364E-2</v>
      </c>
      <c r="O95" s="3">
        <f t="shared" si="50"/>
        <v>1.9051122239944283E-2</v>
      </c>
      <c r="P95" s="3">
        <f t="shared" si="51"/>
        <v>6.0529427483936912E-3</v>
      </c>
      <c r="Q95" s="3">
        <f t="shared" si="52"/>
        <v>5.0785295339311762E-3</v>
      </c>
      <c r="R95" s="3">
        <f t="shared" si="53"/>
        <v>1.8941076294003534E-2</v>
      </c>
      <c r="S95" s="3">
        <f t="shared" si="54"/>
        <v>6.9810208579716825E-3</v>
      </c>
      <c r="T95" s="3">
        <f t="shared" si="55"/>
        <v>-2.2362524786030314E-4</v>
      </c>
      <c r="U95" s="3">
        <f t="shared" si="56"/>
        <v>1.2192491503646891E-2</v>
      </c>
      <c r="V95" s="3">
        <f t="shared" si="57"/>
        <v>-4.172974429563899E-4</v>
      </c>
      <c r="W95" s="3">
        <f t="shared" si="58"/>
        <v>1.225675244630614E-3</v>
      </c>
      <c r="X95" s="3">
        <f t="shared" si="59"/>
        <v>4.2117580408072355E-3</v>
      </c>
      <c r="AK95" s="3"/>
      <c r="AL95" s="8"/>
      <c r="AW95" s="3"/>
      <c r="AY95" s="5"/>
      <c r="AZ95" s="28">
        <v>44291</v>
      </c>
      <c r="BA95" s="3">
        <f t="shared" si="68"/>
        <v>90</v>
      </c>
      <c r="BB95" s="3">
        <f t="shared" si="60"/>
        <v>1.1999315601637219</v>
      </c>
      <c r="BC95" s="3">
        <f t="shared" si="61"/>
        <v>1.1933564255772058</v>
      </c>
      <c r="BD95" s="3">
        <f t="shared" si="62"/>
        <v>2.0667114250976111</v>
      </c>
      <c r="BE95" s="3">
        <f t="shared" si="63"/>
        <v>1.3737136381921473</v>
      </c>
      <c r="BG95" s="3">
        <f t="shared" si="64"/>
        <v>-3.0202584787644309E-3</v>
      </c>
      <c r="BH95" s="3">
        <f t="shared" si="65"/>
        <v>-2.7851038113166863E-3</v>
      </c>
      <c r="BI95" s="3">
        <f t="shared" si="66"/>
        <v>-2.0275325441310088E-3</v>
      </c>
      <c r="BJ95" s="3">
        <f t="shared" si="67"/>
        <v>-6.0250895097153153E-4</v>
      </c>
    </row>
    <row r="96" spans="1:62" ht="13.5" x14ac:dyDescent="0.2">
      <c r="A96" s="28">
        <v>44294</v>
      </c>
      <c r="B96" s="29">
        <v>251.723251</v>
      </c>
      <c r="C96" s="29">
        <v>129.75488300000001</v>
      </c>
      <c r="D96" s="29">
        <v>3299.3000489999999</v>
      </c>
      <c r="E96" s="29">
        <v>2250.429932</v>
      </c>
      <c r="F96" s="29">
        <v>683.79998799999998</v>
      </c>
      <c r="G96" s="29">
        <v>2265.4399410000001</v>
      </c>
      <c r="H96" s="29">
        <v>313.01998900000001</v>
      </c>
      <c r="I96" s="29">
        <v>143.09445199999999</v>
      </c>
      <c r="J96" s="29">
        <v>263.51001000000002</v>
      </c>
      <c r="K96" s="29">
        <v>153.30741900000001</v>
      </c>
      <c r="L96" s="26">
        <v>4097.17</v>
      </c>
      <c r="N96" s="3">
        <f t="shared" si="49"/>
        <v>1.0214233104619551E-2</v>
      </c>
      <c r="O96" s="3">
        <f t="shared" si="50"/>
        <v>2.0049278739743551E-2</v>
      </c>
      <c r="P96" s="3">
        <f t="shared" si="51"/>
        <v>2.1854996220107573E-2</v>
      </c>
      <c r="Q96" s="3">
        <f t="shared" si="52"/>
        <v>8.9536289262208881E-3</v>
      </c>
      <c r="R96" s="3">
        <f t="shared" si="53"/>
        <v>-9.9646155415806497E-3</v>
      </c>
      <c r="S96" s="3">
        <f t="shared" si="54"/>
        <v>8.9820448616621234E-3</v>
      </c>
      <c r="T96" s="3">
        <f t="shared" si="55"/>
        <v>-1.7906189407614203E-3</v>
      </c>
      <c r="U96" s="3">
        <f t="shared" si="56"/>
        <v>5.7804389620812781E-3</v>
      </c>
      <c r="V96" s="3">
        <f t="shared" si="57"/>
        <v>9.4425837779277839E-3</v>
      </c>
      <c r="W96" s="3">
        <f t="shared" si="58"/>
        <v>7.4503151165108659E-3</v>
      </c>
      <c r="X96" s="3">
        <f t="shared" si="59"/>
        <v>7.6903163725556868E-3</v>
      </c>
      <c r="AK96" s="3"/>
      <c r="AL96" s="8"/>
      <c r="AW96" s="3"/>
      <c r="AY96" s="5"/>
      <c r="AZ96" s="28">
        <v>44292</v>
      </c>
      <c r="BA96" s="3">
        <f t="shared" si="68"/>
        <v>91</v>
      </c>
      <c r="BB96" s="3">
        <f t="shared" si="60"/>
        <v>1.1963129240541506</v>
      </c>
      <c r="BC96" s="3">
        <f t="shared" si="61"/>
        <v>1.1900374280697759</v>
      </c>
      <c r="BD96" s="3">
        <f t="shared" si="62"/>
        <v>2.0625253455641834</v>
      </c>
      <c r="BE96" s="3">
        <f t="shared" si="63"/>
        <v>1.3728862127197223</v>
      </c>
      <c r="BG96" s="3">
        <f t="shared" si="64"/>
        <v>8.4764874521943458E-3</v>
      </c>
      <c r="BH96" s="3">
        <f t="shared" si="65"/>
        <v>1.0104727812451544E-2</v>
      </c>
      <c r="BI96" s="3">
        <f t="shared" si="66"/>
        <v>1.0446221011142472E-3</v>
      </c>
      <c r="BJ96" s="3">
        <f t="shared" si="67"/>
        <v>-9.8197619663858253E-3</v>
      </c>
    </row>
    <row r="97" spans="1:62" ht="13.5" x14ac:dyDescent="0.2">
      <c r="A97" s="28">
        <v>44295</v>
      </c>
      <c r="B97" s="29">
        <v>254.30758700000001</v>
      </c>
      <c r="C97" s="29">
        <v>132.38262900000001</v>
      </c>
      <c r="D97" s="29">
        <v>3372.1999510000001</v>
      </c>
      <c r="E97" s="29">
        <v>2270.669922</v>
      </c>
      <c r="F97" s="29">
        <v>677.02002000000005</v>
      </c>
      <c r="G97" s="29">
        <v>2285.8798830000001</v>
      </c>
      <c r="H97" s="29">
        <v>312.459991</v>
      </c>
      <c r="I97" s="29">
        <v>143.92399599999999</v>
      </c>
      <c r="J97" s="29">
        <v>266.01001000000002</v>
      </c>
      <c r="K97" s="29">
        <v>154.45387299999999</v>
      </c>
      <c r="L97" s="26">
        <v>4128.8</v>
      </c>
      <c r="N97" s="3">
        <f t="shared" si="49"/>
        <v>2.3445627613964996E-4</v>
      </c>
      <c r="O97" s="3">
        <f t="shared" si="50"/>
        <v>-1.3321303169487443E-2</v>
      </c>
      <c r="P97" s="3">
        <f t="shared" si="51"/>
        <v>2.1298523411786099E-3</v>
      </c>
      <c r="Q97" s="3">
        <f t="shared" si="52"/>
        <v>-1.1538613819308733E-2</v>
      </c>
      <c r="R97" s="3">
        <f t="shared" si="53"/>
        <v>3.6204040986002675E-2</v>
      </c>
      <c r="S97" s="3">
        <f t="shared" si="54"/>
        <v>-1.3694159843867399E-2</v>
      </c>
      <c r="T97" s="3">
        <f t="shared" si="55"/>
        <v>-2.9486623928641313E-3</v>
      </c>
      <c r="U97" s="3">
        <f t="shared" si="56"/>
        <v>5.4659210165985683E-2</v>
      </c>
      <c r="V97" s="3">
        <f t="shared" si="57"/>
        <v>7.1917865850806319E-3</v>
      </c>
      <c r="W97" s="3">
        <f t="shared" si="58"/>
        <v>-2.1139117373333207E-3</v>
      </c>
      <c r="X97" s="3">
        <f t="shared" si="59"/>
        <v>-1.9620215667317165E-4</v>
      </c>
      <c r="AK97" s="3"/>
      <c r="AL97" s="8"/>
      <c r="AW97" s="3"/>
      <c r="AY97" s="5"/>
      <c r="AZ97" s="28">
        <v>44293</v>
      </c>
      <c r="BA97" s="3">
        <f t="shared" si="68"/>
        <v>92</v>
      </c>
      <c r="BB97" s="3">
        <f t="shared" si="60"/>
        <v>1.206496555279813</v>
      </c>
      <c r="BC97" s="3">
        <f t="shared" si="61"/>
        <v>1.2021233922192913</v>
      </c>
      <c r="BD97" s="3">
        <f t="shared" si="62"/>
        <v>2.0646810308664931</v>
      </c>
      <c r="BE97" s="3">
        <f t="shared" si="63"/>
        <v>1.3594707729181663</v>
      </c>
      <c r="BG97" s="3">
        <f t="shared" si="64"/>
        <v>8.2047065049164775E-3</v>
      </c>
      <c r="BH97" s="3">
        <f t="shared" si="65"/>
        <v>6.9575235226939525E-3</v>
      </c>
      <c r="BI97" s="3">
        <f t="shared" si="66"/>
        <v>1.3902467383123692E-2</v>
      </c>
      <c r="BJ97" s="3">
        <f t="shared" si="67"/>
        <v>2.0941266067627848E-2</v>
      </c>
    </row>
    <row r="98" spans="1:62" ht="13.5" x14ac:dyDescent="0.2">
      <c r="A98" s="28">
        <v>44298</v>
      </c>
      <c r="B98" s="29">
        <v>254.36721800000001</v>
      </c>
      <c r="C98" s="29">
        <v>130.63081399999999</v>
      </c>
      <c r="D98" s="29">
        <v>3379.389893</v>
      </c>
      <c r="E98" s="29">
        <v>2244.6201169999999</v>
      </c>
      <c r="F98" s="29">
        <v>701.97997999999995</v>
      </c>
      <c r="G98" s="29">
        <v>2254.790039</v>
      </c>
      <c r="H98" s="29">
        <v>311.540009</v>
      </c>
      <c r="I98" s="29">
        <v>152.00973500000001</v>
      </c>
      <c r="J98" s="29">
        <v>267.92999300000002</v>
      </c>
      <c r="K98" s="29">
        <v>154.12771599999999</v>
      </c>
      <c r="L98" s="26">
        <v>4127.99</v>
      </c>
      <c r="N98" s="3">
        <f t="shared" si="49"/>
        <v>1.0031214849867855E-2</v>
      </c>
      <c r="O98" s="3">
        <f t="shared" si="50"/>
        <v>2.4015739342441857E-2</v>
      </c>
      <c r="P98" s="3">
        <f t="shared" si="51"/>
        <v>6.0802434497675877E-3</v>
      </c>
      <c r="Q98" s="3">
        <f t="shared" si="52"/>
        <v>4.3608452625489335E-3</v>
      </c>
      <c r="R98" s="3">
        <f t="shared" si="53"/>
        <v>8.2461539121796393E-2</v>
      </c>
      <c r="S98" s="3">
        <f t="shared" si="54"/>
        <v>5.5196138582369507E-3</v>
      </c>
      <c r="T98" s="3">
        <f t="shared" si="55"/>
        <v>-5.7299334159359701E-3</v>
      </c>
      <c r="U98" s="3">
        <f t="shared" si="56"/>
        <v>3.0466654216888121E-2</v>
      </c>
      <c r="V98" s="3">
        <f t="shared" si="57"/>
        <v>-3.1025836582653475E-3</v>
      </c>
      <c r="W98" s="3">
        <f t="shared" si="58"/>
        <v>-1.1998636461471377E-2</v>
      </c>
      <c r="X98" s="3">
        <f t="shared" si="59"/>
        <v>3.289166381145364E-3</v>
      </c>
      <c r="AK98" s="3"/>
      <c r="AL98" s="8"/>
      <c r="AW98" s="3"/>
      <c r="AY98" s="5"/>
      <c r="AZ98" s="28">
        <v>44294</v>
      </c>
      <c r="BA98" s="3">
        <f t="shared" si="68"/>
        <v>93</v>
      </c>
      <c r="BB98" s="3">
        <f t="shared" si="60"/>
        <v>1.2164362256951569</v>
      </c>
      <c r="BC98" s="3">
        <f t="shared" si="61"/>
        <v>1.2105163572671227</v>
      </c>
      <c r="BD98" s="3">
        <f t="shared" si="62"/>
        <v>2.0935856487562137</v>
      </c>
      <c r="BE98" s="3">
        <f t="shared" si="63"/>
        <v>1.3882399926723656</v>
      </c>
      <c r="BG98" s="3">
        <f t="shared" si="64"/>
        <v>7.6586728443089969E-3</v>
      </c>
      <c r="BH98" s="3">
        <f t="shared" si="65"/>
        <v>9.1682712805973843E-3</v>
      </c>
      <c r="BI98" s="3">
        <f t="shared" si="66"/>
        <v>6.0183033027243239E-3</v>
      </c>
      <c r="BJ98" s="3">
        <f t="shared" si="67"/>
        <v>3.2863146156501726E-3</v>
      </c>
    </row>
    <row r="99" spans="1:62" ht="13.5" x14ac:dyDescent="0.2">
      <c r="A99" s="28">
        <v>44299</v>
      </c>
      <c r="B99" s="29">
        <v>256.93167099999999</v>
      </c>
      <c r="C99" s="29">
        <v>133.805984</v>
      </c>
      <c r="D99" s="29">
        <v>3400</v>
      </c>
      <c r="E99" s="29">
        <v>2254.429932</v>
      </c>
      <c r="F99" s="29">
        <v>762.32000700000003</v>
      </c>
      <c r="G99" s="29">
        <v>2267.2700199999999</v>
      </c>
      <c r="H99" s="29">
        <v>309.76001000000002</v>
      </c>
      <c r="I99" s="29">
        <v>156.712234</v>
      </c>
      <c r="J99" s="29">
        <v>267.10000600000001</v>
      </c>
      <c r="K99" s="29">
        <v>152.289444</v>
      </c>
      <c r="L99" s="26">
        <v>4141.59</v>
      </c>
      <c r="N99" s="3">
        <f t="shared" si="49"/>
        <v>-1.1282429649944288E-2</v>
      </c>
      <c r="O99" s="3">
        <f t="shared" si="50"/>
        <v>-1.8014407311429233E-2</v>
      </c>
      <c r="P99" s="3">
        <f t="shared" si="51"/>
        <v>-1.9902632296513022E-2</v>
      </c>
      <c r="Q99" s="3">
        <f t="shared" si="52"/>
        <v>-5.5689973587747521E-3</v>
      </c>
      <c r="R99" s="3">
        <f t="shared" si="53"/>
        <v>-4.0271779277552121E-2</v>
      </c>
      <c r="S99" s="3">
        <f t="shared" si="54"/>
        <v>-5.4974173593701943E-3</v>
      </c>
      <c r="T99" s="3">
        <f t="shared" si="55"/>
        <v>-2.2659243675001443E-2</v>
      </c>
      <c r="U99" s="3">
        <f t="shared" si="56"/>
        <v>-2.6005577040259367E-2</v>
      </c>
      <c r="V99" s="3">
        <f t="shared" si="57"/>
        <v>1.6085632631723671E-3</v>
      </c>
      <c r="W99" s="3">
        <f t="shared" si="58"/>
        <v>-1.8867128178415911E-2</v>
      </c>
      <c r="X99" s="3">
        <f t="shared" si="59"/>
        <v>-4.0961799296970009E-3</v>
      </c>
      <c r="AK99" s="3"/>
      <c r="AL99" s="8"/>
      <c r="AW99" s="3"/>
      <c r="AY99" s="5"/>
      <c r="AZ99" s="28">
        <v>44295</v>
      </c>
      <c r="BA99" s="3">
        <f t="shared" si="68"/>
        <v>94</v>
      </c>
      <c r="BB99" s="3">
        <f t="shared" si="60"/>
        <v>1.225788279230724</v>
      </c>
      <c r="BC99" s="3">
        <f t="shared" si="61"/>
        <v>1.2216657317665021</v>
      </c>
      <c r="BD99" s="3">
        <f t="shared" si="62"/>
        <v>2.1062234731657341</v>
      </c>
      <c r="BE99" s="3">
        <f t="shared" si="63"/>
        <v>1.3928096906702991</v>
      </c>
      <c r="BG99" s="3">
        <f t="shared" si="64"/>
        <v>5.6698121082280218E-3</v>
      </c>
      <c r="BH99" s="3">
        <f t="shared" si="65"/>
        <v>1.7721578570034763E-3</v>
      </c>
      <c r="BI99" s="3">
        <f t="shared" si="66"/>
        <v>1.4694645453749331E-2</v>
      </c>
      <c r="BJ99" s="3">
        <f t="shared" si="67"/>
        <v>2.6922140531173859E-2</v>
      </c>
    </row>
    <row r="100" spans="1:62" ht="13.5" x14ac:dyDescent="0.2">
      <c r="A100" s="28">
        <v>44300</v>
      </c>
      <c r="B100" s="29">
        <v>254.049149</v>
      </c>
      <c r="C100" s="29">
        <v>131.41712999999999</v>
      </c>
      <c r="D100" s="29">
        <v>3333</v>
      </c>
      <c r="E100" s="29">
        <v>2241.9099120000001</v>
      </c>
      <c r="F100" s="29">
        <v>732.22997999999995</v>
      </c>
      <c r="G100" s="29">
        <v>2254.8400879999999</v>
      </c>
      <c r="H100" s="29">
        <v>302.82000699999998</v>
      </c>
      <c r="I100" s="29">
        <v>152.68937700000001</v>
      </c>
      <c r="J100" s="29">
        <v>267.52999899999998</v>
      </c>
      <c r="K100" s="29">
        <v>149.44311500000001</v>
      </c>
      <c r="L100" s="26">
        <v>4124.66</v>
      </c>
      <c r="N100" s="3">
        <f t="shared" si="49"/>
        <v>1.5181987582661918E-2</v>
      </c>
      <c r="O100" s="3">
        <f t="shared" si="50"/>
        <v>1.8535078043044041E-2</v>
      </c>
      <c r="P100" s="3">
        <f t="shared" si="51"/>
        <v>1.3733669193498027E-2</v>
      </c>
      <c r="Q100" s="3">
        <f t="shared" si="52"/>
        <v>1.9147285689515011E-2</v>
      </c>
      <c r="R100" s="3">
        <f t="shared" si="53"/>
        <v>9.0002459218535072E-3</v>
      </c>
      <c r="S100" s="3">
        <f t="shared" si="54"/>
        <v>1.8376799251433394E-2</v>
      </c>
      <c r="T100" s="3">
        <f t="shared" si="55"/>
        <v>1.6376626596102114E-2</v>
      </c>
      <c r="U100" s="3">
        <f t="shared" si="56"/>
        <v>5.4781747333481359E-2</v>
      </c>
      <c r="V100" s="3">
        <f t="shared" si="57"/>
        <v>6.000040203885274E-3</v>
      </c>
      <c r="W100" s="3">
        <f t="shared" si="58"/>
        <v>6.328675089432652E-3</v>
      </c>
      <c r="X100" s="3">
        <f t="shared" si="59"/>
        <v>1.1033158016154329E-2</v>
      </c>
      <c r="AK100" s="3"/>
      <c r="AL100" s="8"/>
      <c r="AW100" s="3"/>
      <c r="AY100" s="5"/>
      <c r="AZ100" s="28">
        <v>44298</v>
      </c>
      <c r="BA100" s="3">
        <f t="shared" si="68"/>
        <v>95</v>
      </c>
      <c r="BB100" s="3">
        <f t="shared" si="60"/>
        <v>1.2327580083144258</v>
      </c>
      <c r="BC100" s="3">
        <f t="shared" si="61"/>
        <v>1.2238326357725593</v>
      </c>
      <c r="BD100" s="3">
        <f t="shared" si="62"/>
        <v>2.1374021994747272</v>
      </c>
      <c r="BE100" s="3">
        <f t="shared" si="63"/>
        <v>1.430816424627845</v>
      </c>
      <c r="BG100" s="3">
        <f t="shared" si="64"/>
        <v>1.541404043156059E-2</v>
      </c>
      <c r="BH100" s="3">
        <f t="shared" si="65"/>
        <v>8.8764537806358783E-3</v>
      </c>
      <c r="BI100" s="3">
        <f t="shared" si="66"/>
        <v>3.6250990456023133E-2</v>
      </c>
      <c r="BJ100" s="3">
        <f t="shared" si="67"/>
        <v>6.2912466273733592E-2</v>
      </c>
    </row>
    <row r="101" spans="1:62" ht="13.5" x14ac:dyDescent="0.2">
      <c r="A101" s="28">
        <v>44301</v>
      </c>
      <c r="B101" s="29">
        <v>257.93554699999999</v>
      </c>
      <c r="C101" s="29">
        <v>133.87567100000001</v>
      </c>
      <c r="D101" s="29">
        <v>3379.0900879999999</v>
      </c>
      <c r="E101" s="29">
        <v>2285.25</v>
      </c>
      <c r="F101" s="29">
        <v>738.84997599999997</v>
      </c>
      <c r="G101" s="29">
        <v>2296.6599120000001</v>
      </c>
      <c r="H101" s="29">
        <v>307.82000699999998</v>
      </c>
      <c r="I101" s="29">
        <v>161.28732299999999</v>
      </c>
      <c r="J101" s="29">
        <v>269.14001500000001</v>
      </c>
      <c r="K101" s="29">
        <v>150.39189099999999</v>
      </c>
      <c r="L101" s="26">
        <v>4170.42</v>
      </c>
      <c r="N101" s="3">
        <f t="shared" si="49"/>
        <v>4.7671153076250866E-3</v>
      </c>
      <c r="O101" s="3">
        <f t="shared" si="50"/>
        <v>-2.5309858940208946E-3</v>
      </c>
      <c r="P101" s="3">
        <f t="shared" si="51"/>
        <v>6.0042262993586504E-3</v>
      </c>
      <c r="Q101" s="3">
        <f t="shared" si="52"/>
        <v>-1.0945710374786538E-3</v>
      </c>
      <c r="R101" s="3">
        <f t="shared" si="53"/>
        <v>1.2579930334286771E-3</v>
      </c>
      <c r="S101" s="3">
        <f t="shared" si="54"/>
        <v>4.7888440312392807E-4</v>
      </c>
      <c r="T101" s="3">
        <f t="shared" si="55"/>
        <v>-5.3420778508039548E-3</v>
      </c>
      <c r="U101" s="3">
        <f t="shared" si="56"/>
        <v>-1.4025258140318679E-2</v>
      </c>
      <c r="V101" s="3">
        <f t="shared" si="57"/>
        <v>1.097459513706895E-2</v>
      </c>
      <c r="W101" s="3">
        <f t="shared" si="58"/>
        <v>7.398542003837839E-3</v>
      </c>
      <c r="X101" s="3">
        <f t="shared" si="59"/>
        <v>3.6022533265398387E-3</v>
      </c>
      <c r="AK101" s="3"/>
      <c r="AL101" s="8"/>
      <c r="AW101" s="3"/>
      <c r="AY101" s="5"/>
      <c r="AZ101" s="28">
        <v>44299</v>
      </c>
      <c r="BA101" s="3">
        <f t="shared" si="68"/>
        <v>96</v>
      </c>
      <c r="BB101" s="3">
        <f t="shared" si="60"/>
        <v>1.2519069925690303</v>
      </c>
      <c r="BC101" s="3">
        <f t="shared" si="61"/>
        <v>1.234744286334885</v>
      </c>
      <c r="BD101" s="3">
        <f t="shared" si="62"/>
        <v>2.2163066884108273</v>
      </c>
      <c r="BE101" s="3">
        <f t="shared" si="63"/>
        <v>1.5237245111196938</v>
      </c>
      <c r="BG101" s="3">
        <f t="shared" si="64"/>
        <v>-1.7062775315687766E-2</v>
      </c>
      <c r="BH101" s="3">
        <f t="shared" si="65"/>
        <v>-1.3686525708918932E-2</v>
      </c>
      <c r="BI101" s="3">
        <f t="shared" si="66"/>
        <v>-2.396665152067436E-2</v>
      </c>
      <c r="BJ101" s="3">
        <f t="shared" si="67"/>
        <v>-3.3161883736137487E-2</v>
      </c>
    </row>
    <row r="102" spans="1:62" ht="13.5" x14ac:dyDescent="0.2">
      <c r="A102" s="28">
        <v>44302</v>
      </c>
      <c r="B102" s="29">
        <v>259.168091</v>
      </c>
      <c r="C102" s="29">
        <v>133.537262</v>
      </c>
      <c r="D102" s="29">
        <v>3399.4399410000001</v>
      </c>
      <c r="E102" s="29">
        <v>2282.75</v>
      </c>
      <c r="F102" s="29">
        <v>739.78002900000001</v>
      </c>
      <c r="G102" s="29">
        <v>2297.76001</v>
      </c>
      <c r="H102" s="29">
        <v>306.17999300000002</v>
      </c>
      <c r="I102" s="29">
        <v>159.04101600000001</v>
      </c>
      <c r="J102" s="29">
        <v>272.10998499999999</v>
      </c>
      <c r="K102" s="29">
        <v>151.50869800000001</v>
      </c>
      <c r="L102" s="26">
        <v>4185.47</v>
      </c>
      <c r="N102" s="3">
        <f t="shared" si="49"/>
        <v>-7.699938002459967E-3</v>
      </c>
      <c r="O102" s="3">
        <f t="shared" si="50"/>
        <v>5.0555895181196905E-3</v>
      </c>
      <c r="P102" s="3">
        <f t="shared" si="51"/>
        <v>-8.1016861186065658E-3</v>
      </c>
      <c r="Q102" s="3">
        <f t="shared" si="52"/>
        <v>3.0661564333862171E-3</v>
      </c>
      <c r="R102" s="3">
        <f t="shared" si="53"/>
        <v>-3.4587950667293574E-2</v>
      </c>
      <c r="S102" s="3">
        <f t="shared" si="54"/>
        <v>2.0172749044486647E-3</v>
      </c>
      <c r="T102" s="3">
        <f t="shared" si="55"/>
        <v>-1.2951770774656613E-2</v>
      </c>
      <c r="U102" s="3">
        <f t="shared" si="56"/>
        <v>-3.5224308950215007E-2</v>
      </c>
      <c r="V102" s="3">
        <f t="shared" si="57"/>
        <v>-6.7478861994316802E-3</v>
      </c>
      <c r="W102" s="3">
        <f t="shared" si="58"/>
        <v>-4.2492073112004062E-3</v>
      </c>
      <c r="X102" s="3">
        <f t="shared" si="59"/>
        <v>-5.3205822668759327E-3</v>
      </c>
      <c r="AK102" s="3"/>
      <c r="AL102" s="8"/>
      <c r="AW102" s="3"/>
      <c r="AY102" s="5"/>
      <c r="AZ102" s="28">
        <v>44300</v>
      </c>
      <c r="BA102" s="3">
        <f t="shared" si="68"/>
        <v>97</v>
      </c>
      <c r="BB102" s="3">
        <f t="shared" si="60"/>
        <v>1.2307271917814964</v>
      </c>
      <c r="BC102" s="3">
        <f t="shared" si="61"/>
        <v>1.2179600478741441</v>
      </c>
      <c r="BD102" s="3">
        <f t="shared" si="62"/>
        <v>2.1638207072632847</v>
      </c>
      <c r="BE102" s="3">
        <f t="shared" si="63"/>
        <v>1.4740235789397103</v>
      </c>
      <c r="BG102" s="3">
        <f t="shared" si="64"/>
        <v>1.7474732493517973E-2</v>
      </c>
      <c r="BH102" s="3">
        <f t="shared" si="65"/>
        <v>1.571717059947722E-2</v>
      </c>
      <c r="BI102" s="3">
        <f t="shared" si="66"/>
        <v>2.0450250493232364E-2</v>
      </c>
      <c r="BJ102" s="3">
        <f t="shared" si="67"/>
        <v>2.2703571391991553E-2</v>
      </c>
    </row>
    <row r="103" spans="1:62" ht="13.5" x14ac:dyDescent="0.2">
      <c r="A103" s="28">
        <v>44305</v>
      </c>
      <c r="B103" s="29">
        <v>257.18017600000002</v>
      </c>
      <c r="C103" s="29">
        <v>134.21408099999999</v>
      </c>
      <c r="D103" s="29">
        <v>3372.01001</v>
      </c>
      <c r="E103" s="29">
        <v>2289.76001</v>
      </c>
      <c r="F103" s="29">
        <v>714.63000499999998</v>
      </c>
      <c r="G103" s="29">
        <v>2302.3999020000001</v>
      </c>
      <c r="H103" s="29">
        <v>302.23998999999998</v>
      </c>
      <c r="I103" s="29">
        <v>153.53642300000001</v>
      </c>
      <c r="J103" s="29">
        <v>270.27999899999998</v>
      </c>
      <c r="K103" s="29">
        <v>150.86627200000001</v>
      </c>
      <c r="L103" s="26">
        <v>4163.26</v>
      </c>
      <c r="N103" s="3">
        <f t="shared" si="49"/>
        <v>-1.8568892696002081E-3</v>
      </c>
      <c r="O103" s="3">
        <f t="shared" si="50"/>
        <v>-1.2912927272276177E-2</v>
      </c>
      <c r="P103" s="3">
        <f t="shared" si="51"/>
        <v>-1.1129304868749849E-2</v>
      </c>
      <c r="Q103" s="3">
        <f t="shared" si="52"/>
        <v>-4.7058704164827676E-3</v>
      </c>
      <c r="R103" s="3">
        <f t="shared" si="53"/>
        <v>6.0825022772209164E-3</v>
      </c>
      <c r="S103" s="3">
        <f t="shared" si="54"/>
        <v>-3.8163502216136281E-3</v>
      </c>
      <c r="T103" s="3">
        <f t="shared" si="55"/>
        <v>1.3556318459061467E-3</v>
      </c>
      <c r="U103" s="3">
        <f t="shared" si="56"/>
        <v>-1.2478546059322769E-2</v>
      </c>
      <c r="V103" s="3">
        <f t="shared" si="57"/>
        <v>-8.8819504980528208E-3</v>
      </c>
      <c r="W103" s="3">
        <f t="shared" si="58"/>
        <v>-2.2390840913401946E-2</v>
      </c>
      <c r="X103" s="3">
        <f t="shared" si="59"/>
        <v>-6.8256031307080047E-3</v>
      </c>
      <c r="AK103" s="3"/>
      <c r="AL103" s="8"/>
      <c r="AW103" s="3"/>
      <c r="AY103" s="5"/>
      <c r="AZ103" s="28">
        <v>44301</v>
      </c>
      <c r="BA103" s="3">
        <f t="shared" si="68"/>
        <v>98</v>
      </c>
      <c r="BB103" s="3">
        <f t="shared" si="60"/>
        <v>1.2524228308849481</v>
      </c>
      <c r="BC103" s="3">
        <f t="shared" si="61"/>
        <v>1.2372541609806802</v>
      </c>
      <c r="BD103" s="3">
        <f t="shared" si="62"/>
        <v>2.2085269516481638</v>
      </c>
      <c r="BE103" s="3">
        <f t="shared" si="63"/>
        <v>1.5078719641904015</v>
      </c>
      <c r="BG103" s="3">
        <f t="shared" si="64"/>
        <v>8.3594191349522736E-4</v>
      </c>
      <c r="BH103" s="3">
        <f t="shared" si="65"/>
        <v>2.2848960433605662E-3</v>
      </c>
      <c r="BI103" s="3">
        <f t="shared" si="66"/>
        <v>-1.2449520693469276E-3</v>
      </c>
      <c r="BJ103" s="3">
        <f t="shared" si="67"/>
        <v>-3.2157251449243004E-3</v>
      </c>
    </row>
    <row r="104" spans="1:62" ht="13.5" x14ac:dyDescent="0.2">
      <c r="A104" s="28">
        <v>44306</v>
      </c>
      <c r="B104" s="29">
        <v>256.70306399999998</v>
      </c>
      <c r="C104" s="29">
        <v>132.49212600000001</v>
      </c>
      <c r="D104" s="29">
        <v>3334.6899410000001</v>
      </c>
      <c r="E104" s="29">
        <v>2279.01001</v>
      </c>
      <c r="F104" s="29">
        <v>718.98999000000003</v>
      </c>
      <c r="G104" s="29">
        <v>2293.6298830000001</v>
      </c>
      <c r="H104" s="29">
        <v>302.64999399999999</v>
      </c>
      <c r="I104" s="29">
        <v>151.63241600000001</v>
      </c>
      <c r="J104" s="29">
        <v>267.89001500000001</v>
      </c>
      <c r="K104" s="29">
        <v>147.52578700000001</v>
      </c>
      <c r="L104" s="26">
        <v>4134.9399999999996</v>
      </c>
      <c r="N104" s="3">
        <f t="shared" si="49"/>
        <v>8.9430333081303905E-3</v>
      </c>
      <c r="O104" s="3">
        <f t="shared" si="50"/>
        <v>2.9254681053755794E-3</v>
      </c>
      <c r="P104" s="3">
        <f t="shared" si="51"/>
        <v>8.162285926407371E-3</v>
      </c>
      <c r="Q104" s="3">
        <f t="shared" si="52"/>
        <v>-2.8960274763183911E-4</v>
      </c>
      <c r="R104" s="3">
        <f t="shared" si="53"/>
        <v>3.4354869920354685E-2</v>
      </c>
      <c r="S104" s="3">
        <f t="shared" si="54"/>
        <v>-1.481796091499393E-4</v>
      </c>
      <c r="T104" s="3">
        <f t="shared" si="55"/>
        <v>-3.9064904667590441E-3</v>
      </c>
      <c r="U104" s="3">
        <f t="shared" si="56"/>
        <v>1.2397148379370808E-2</v>
      </c>
      <c r="V104" s="3">
        <f t="shared" si="57"/>
        <v>1.5997289686662461E-2</v>
      </c>
      <c r="W104" s="3">
        <f t="shared" si="58"/>
        <v>8.4719679657868727E-3</v>
      </c>
      <c r="X104" s="3">
        <f t="shared" si="59"/>
        <v>9.2630254691135495E-3</v>
      </c>
      <c r="AK104" s="3"/>
      <c r="AL104" s="8"/>
      <c r="AW104" s="3"/>
      <c r="AY104" s="5"/>
      <c r="AZ104" s="28">
        <v>44302</v>
      </c>
      <c r="BA104" s="3">
        <f t="shared" si="68"/>
        <v>99</v>
      </c>
      <c r="BB104" s="3">
        <f t="shared" si="60"/>
        <v>1.2534702213405009</v>
      </c>
      <c r="BC104" s="3">
        <f t="shared" si="61"/>
        <v>1.2400843902762695</v>
      </c>
      <c r="BD104" s="3">
        <f t="shared" si="62"/>
        <v>2.2057791522436809</v>
      </c>
      <c r="BE104" s="3">
        <f t="shared" si="63"/>
        <v>1.5030308504172569</v>
      </c>
      <c r="BG104" s="3">
        <f t="shared" si="64"/>
        <v>-1.0245445467764076E-2</v>
      </c>
      <c r="BH104" s="3">
        <f t="shared" si="65"/>
        <v>-7.189448386558126E-3</v>
      </c>
      <c r="BI104" s="3">
        <f t="shared" si="66"/>
        <v>-1.6419873599623849E-2</v>
      </c>
      <c r="BJ104" s="3">
        <f t="shared" si="67"/>
        <v>-2.4762168939510523E-2</v>
      </c>
    </row>
    <row r="105" spans="1:62" ht="13.5" x14ac:dyDescent="0.2">
      <c r="A105" s="28">
        <v>44307</v>
      </c>
      <c r="B105" s="29">
        <v>259.00906400000002</v>
      </c>
      <c r="C105" s="29">
        <v>132.88029499999999</v>
      </c>
      <c r="D105" s="29">
        <v>3362.0200199999999</v>
      </c>
      <c r="E105" s="29">
        <v>2278.3500979999999</v>
      </c>
      <c r="F105" s="29">
        <v>744.11999500000002</v>
      </c>
      <c r="G105" s="29">
        <v>2293.290039</v>
      </c>
      <c r="H105" s="29">
        <v>301.47000100000002</v>
      </c>
      <c r="I105" s="29">
        <v>153.52392599999999</v>
      </c>
      <c r="J105" s="29">
        <v>272.209991</v>
      </c>
      <c r="K105" s="29">
        <v>148.78093000000001</v>
      </c>
      <c r="L105" s="26">
        <v>4173.42</v>
      </c>
      <c r="N105" s="3">
        <f t="shared" si="49"/>
        <v>-1.3172600577741549E-2</v>
      </c>
      <c r="O105" s="3">
        <f t="shared" si="50"/>
        <v>-1.1754025078019979E-2</v>
      </c>
      <c r="P105" s="3">
        <f t="shared" si="51"/>
        <v>-1.5883860861019377E-2</v>
      </c>
      <c r="Q105" s="3">
        <f t="shared" si="52"/>
        <v>-1.1401941420394452E-2</v>
      </c>
      <c r="R105" s="3">
        <f t="shared" si="53"/>
        <v>-3.3381738912577778E-2</v>
      </c>
      <c r="S105" s="3">
        <f t="shared" si="54"/>
        <v>-1.1124407273890198E-2</v>
      </c>
      <c r="T105" s="3">
        <f t="shared" si="55"/>
        <v>-1.6555879354530179E-2</v>
      </c>
      <c r="U105" s="3">
        <f t="shared" si="56"/>
        <v>-3.3782485782000063E-2</v>
      </c>
      <c r="V105" s="3">
        <f t="shared" si="57"/>
        <v>-9.9682616563006848E-3</v>
      </c>
      <c r="W105" s="3">
        <f t="shared" si="58"/>
        <v>-2.1282450992185467E-2</v>
      </c>
      <c r="X105" s="3">
        <f t="shared" si="59"/>
        <v>-9.2533518567931589E-3</v>
      </c>
      <c r="AK105" s="3"/>
      <c r="AL105" s="8"/>
      <c r="AW105" s="3"/>
      <c r="AY105" s="5"/>
      <c r="AZ105" s="28">
        <v>44305</v>
      </c>
      <c r="BA105" s="3">
        <f t="shared" si="68"/>
        <v>100</v>
      </c>
      <c r="BB105" s="3">
        <f t="shared" si="60"/>
        <v>1.2406934242949168</v>
      </c>
      <c r="BC105" s="3">
        <f t="shared" si="61"/>
        <v>1.2312008397359562</v>
      </c>
      <c r="BD105" s="3">
        <f t="shared" si="62"/>
        <v>2.1698562690761105</v>
      </c>
      <c r="BE105" s="3">
        <f t="shared" si="63"/>
        <v>1.4662695694775321</v>
      </c>
      <c r="BG105" s="3">
        <f t="shared" si="64"/>
        <v>-6.8644342109940738E-3</v>
      </c>
      <c r="BH105" s="3">
        <f t="shared" si="65"/>
        <v>-7.795536074520582E-3</v>
      </c>
      <c r="BI105" s="3">
        <f t="shared" si="66"/>
        <v>-4.2024734291737538E-3</v>
      </c>
      <c r="BJ105" s="3">
        <f t="shared" si="67"/>
        <v>-8.3050401932068354E-4</v>
      </c>
    </row>
    <row r="106" spans="1:62" ht="13.5" x14ac:dyDescent="0.2">
      <c r="A106" s="28">
        <v>44308</v>
      </c>
      <c r="B106" s="29">
        <v>255.61961400000001</v>
      </c>
      <c r="C106" s="29">
        <v>131.32756000000001</v>
      </c>
      <c r="D106" s="29">
        <v>3309.040039</v>
      </c>
      <c r="E106" s="29">
        <v>2252.5200199999999</v>
      </c>
      <c r="F106" s="29">
        <v>719.69000200000005</v>
      </c>
      <c r="G106" s="29">
        <v>2267.919922</v>
      </c>
      <c r="H106" s="29">
        <v>296.51998900000001</v>
      </c>
      <c r="I106" s="29">
        <v>148.42413300000001</v>
      </c>
      <c r="J106" s="29">
        <v>269.51001000000002</v>
      </c>
      <c r="K106" s="29">
        <v>145.647964</v>
      </c>
      <c r="L106" s="26">
        <v>4134.9799999999996</v>
      </c>
      <c r="N106" s="3">
        <f t="shared" si="49"/>
        <v>1.5357621615244664E-2</v>
      </c>
      <c r="O106" s="3">
        <f t="shared" si="50"/>
        <v>1.7877667920939193E-2</v>
      </c>
      <c r="P106" s="3">
        <f t="shared" si="51"/>
        <v>9.5760814223668916E-3</v>
      </c>
      <c r="Q106" s="3">
        <f t="shared" si="52"/>
        <v>2.0829059760040694E-2</v>
      </c>
      <c r="R106" s="3">
        <f t="shared" si="53"/>
        <v>1.3401744760473122E-2</v>
      </c>
      <c r="S106" s="3">
        <f t="shared" si="54"/>
        <v>2.0676212456548545E-2</v>
      </c>
      <c r="T106" s="3">
        <f t="shared" si="55"/>
        <v>1.5427449109947538E-2</v>
      </c>
      <c r="U106" s="3">
        <f t="shared" si="56"/>
        <v>2.7562218170608752E-2</v>
      </c>
      <c r="V106" s="3">
        <f t="shared" si="57"/>
        <v>9.1230421085464353E-3</v>
      </c>
      <c r="W106" s="3">
        <f t="shared" si="58"/>
        <v>1.8954836024965168E-2</v>
      </c>
      <c r="X106" s="3">
        <f t="shared" si="59"/>
        <v>1.0869423861541933E-2</v>
      </c>
      <c r="AK106" s="3"/>
      <c r="AL106" s="8"/>
      <c r="AW106" s="3"/>
      <c r="AY106" s="5"/>
      <c r="AZ106" s="28">
        <v>44306</v>
      </c>
      <c r="BA106" s="3">
        <f t="shared" si="68"/>
        <v>101</v>
      </c>
      <c r="BB106" s="3">
        <f t="shared" si="60"/>
        <v>1.2322059301582475</v>
      </c>
      <c r="BC106" s="3">
        <f t="shared" si="61"/>
        <v>1.2216402824260271</v>
      </c>
      <c r="BD106" s="3">
        <f t="shared" si="62"/>
        <v>2.160756639627889</v>
      </c>
      <c r="BE106" s="3">
        <f t="shared" si="63"/>
        <v>1.4650523322368483</v>
      </c>
      <c r="BG106" s="3">
        <f t="shared" si="64"/>
        <v>9.233668570356254E-3</v>
      </c>
      <c r="BH106" s="3">
        <f t="shared" si="65"/>
        <v>7.9254103871073279E-3</v>
      </c>
      <c r="BI106" s="3">
        <f t="shared" si="66"/>
        <v>1.4488875991105323E-2</v>
      </c>
      <c r="BJ106" s="3">
        <f t="shared" si="67"/>
        <v>2.1972783573156907E-2</v>
      </c>
    </row>
    <row r="107" spans="1:62" ht="13.5" x14ac:dyDescent="0.2">
      <c r="A107" s="28">
        <v>44309</v>
      </c>
      <c r="B107" s="29">
        <v>259.57562300000001</v>
      </c>
      <c r="C107" s="29">
        <v>133.69650300000001</v>
      </c>
      <c r="D107" s="29">
        <v>3340.8798830000001</v>
      </c>
      <c r="E107" s="29">
        <v>2299.929932</v>
      </c>
      <c r="F107" s="29">
        <v>729.40002400000003</v>
      </c>
      <c r="G107" s="29">
        <v>2315.3000489999999</v>
      </c>
      <c r="H107" s="29">
        <v>301.13000499999998</v>
      </c>
      <c r="I107" s="29">
        <v>152.57193000000001</v>
      </c>
      <c r="J107" s="29">
        <v>271.98001099999999</v>
      </c>
      <c r="K107" s="29">
        <v>148.43502799999999</v>
      </c>
      <c r="L107" s="26">
        <v>4180.17</v>
      </c>
      <c r="N107" s="3">
        <f t="shared" si="49"/>
        <v>1.5304935952750204E-3</v>
      </c>
      <c r="O107" s="3">
        <f t="shared" si="50"/>
        <v>2.9735656978257781E-3</v>
      </c>
      <c r="P107" s="3">
        <f t="shared" si="51"/>
        <v>2.0184782836908215E-2</v>
      </c>
      <c r="Q107" s="3">
        <f t="shared" si="52"/>
        <v>4.3385334829008524E-3</v>
      </c>
      <c r="R107" s="3">
        <f t="shared" si="53"/>
        <v>1.1992495573319426E-2</v>
      </c>
      <c r="S107" s="3">
        <f t="shared" si="54"/>
        <v>4.9288519976735303E-3</v>
      </c>
      <c r="T107" s="3">
        <f t="shared" si="55"/>
        <v>6.3227578952883634E-3</v>
      </c>
      <c r="U107" s="3">
        <f t="shared" si="56"/>
        <v>1.3840727886877412E-2</v>
      </c>
      <c r="V107" s="3">
        <f t="shared" si="57"/>
        <v>-4.126547776901272E-3</v>
      </c>
      <c r="W107" s="3">
        <f t="shared" si="58"/>
        <v>2.4605196743879899E-3</v>
      </c>
      <c r="X107" s="3">
        <f t="shared" si="59"/>
        <v>1.7806378908788009E-3</v>
      </c>
      <c r="AK107" s="3"/>
      <c r="AL107" s="8"/>
      <c r="AW107" s="3"/>
      <c r="AY107" s="5"/>
      <c r="AZ107" s="28">
        <v>44307</v>
      </c>
      <c r="BA107" s="3">
        <f t="shared" si="68"/>
        <v>102</v>
      </c>
      <c r="BB107" s="3">
        <f t="shared" si="60"/>
        <v>1.243636402711338</v>
      </c>
      <c r="BC107" s="3">
        <f t="shared" si="61"/>
        <v>1.2313607514826623</v>
      </c>
      <c r="BD107" s="3">
        <f t="shared" si="62"/>
        <v>2.1922914751195943</v>
      </c>
      <c r="BE107" s="3">
        <f t="shared" si="63"/>
        <v>1.4975998806807784</v>
      </c>
      <c r="BG107" s="3">
        <f t="shared" si="64"/>
        <v>-1.8116884173944463E-2</v>
      </c>
      <c r="BH107" s="3">
        <f t="shared" si="65"/>
        <v>-1.5872273789997678E-2</v>
      </c>
      <c r="BI107" s="3">
        <f t="shared" si="66"/>
        <v>-2.2402949064952739E-2</v>
      </c>
      <c r="BJ107" s="3">
        <f t="shared" si="67"/>
        <v>-2.8102692406399284E-2</v>
      </c>
    </row>
    <row r="108" spans="1:62" ht="13.5" x14ac:dyDescent="0.2">
      <c r="A108" s="28">
        <v>44312</v>
      </c>
      <c r="B108" s="29">
        <v>259.973206</v>
      </c>
      <c r="C108" s="29">
        <v>134.09465</v>
      </c>
      <c r="D108" s="29">
        <v>3409</v>
      </c>
      <c r="E108" s="29">
        <v>2309.929932</v>
      </c>
      <c r="F108" s="29">
        <v>738.20001200000002</v>
      </c>
      <c r="G108" s="29">
        <v>2326.73999</v>
      </c>
      <c r="H108" s="29">
        <v>303.040009</v>
      </c>
      <c r="I108" s="29">
        <v>154.698318</v>
      </c>
      <c r="J108" s="29">
        <v>270.85998499999999</v>
      </c>
      <c r="K108" s="29">
        <v>148.80070499999999</v>
      </c>
      <c r="L108" s="26">
        <v>4187.62</v>
      </c>
      <c r="N108" s="3">
        <f t="shared" si="49"/>
        <v>1.604688838475784E-3</v>
      </c>
      <c r="O108" s="3">
        <f t="shared" si="50"/>
        <v>-2.4525883236568694E-3</v>
      </c>
      <c r="P108" s="3">
        <f t="shared" si="51"/>
        <v>2.4697935433611773E-3</v>
      </c>
      <c r="Q108" s="3">
        <f t="shared" si="52"/>
        <v>-8.237526715075225E-3</v>
      </c>
      <c r="R108" s="3">
        <f t="shared" si="53"/>
        <v>-4.6385880576610104E-2</v>
      </c>
      <c r="S108" s="3">
        <f t="shared" si="54"/>
        <v>-8.4680977801442226E-3</v>
      </c>
      <c r="T108" s="3">
        <f t="shared" si="55"/>
        <v>1.747409771947367E-3</v>
      </c>
      <c r="U108" s="3">
        <f t="shared" si="56"/>
        <v>-6.2379057077019944E-3</v>
      </c>
      <c r="V108" s="3">
        <f t="shared" si="57"/>
        <v>1.0247868816048264E-2</v>
      </c>
      <c r="W108" s="3">
        <f t="shared" si="58"/>
        <v>4.572371947213257E-3</v>
      </c>
      <c r="X108" s="3">
        <f t="shared" si="59"/>
        <v>-2.1494231269923608E-4</v>
      </c>
      <c r="AK108" s="3"/>
      <c r="AL108" s="8"/>
      <c r="AW108" s="3"/>
      <c r="AY108" s="5"/>
      <c r="AZ108" s="28">
        <v>44308</v>
      </c>
      <c r="BA108" s="3">
        <f t="shared" si="68"/>
        <v>103</v>
      </c>
      <c r="BB108" s="3">
        <f t="shared" si="60"/>
        <v>1.2213084531926202</v>
      </c>
      <c r="BC108" s="3">
        <f t="shared" si="61"/>
        <v>1.2119705468968704</v>
      </c>
      <c r="BD108" s="3">
        <f t="shared" si="62"/>
        <v>2.1437237423848532</v>
      </c>
      <c r="BE108" s="3">
        <f t="shared" si="63"/>
        <v>1.4560991640917305</v>
      </c>
      <c r="BG108" s="3">
        <f t="shared" si="64"/>
        <v>1.6929283391445619E-2</v>
      </c>
      <c r="BH108" s="3">
        <f t="shared" si="65"/>
        <v>1.6302257906697114E-2</v>
      </c>
      <c r="BI108" s="3">
        <f t="shared" si="66"/>
        <v>1.7525309821258973E-2</v>
      </c>
      <c r="BJ108" s="3">
        <f t="shared" si="67"/>
        <v>1.7666345064996702E-2</v>
      </c>
    </row>
    <row r="109" spans="1:62" ht="13.5" x14ac:dyDescent="0.2">
      <c r="A109" s="28">
        <v>44313</v>
      </c>
      <c r="B109" s="29">
        <v>260.390717</v>
      </c>
      <c r="C109" s="29">
        <v>133.76617400000001</v>
      </c>
      <c r="D109" s="29">
        <v>3417.429932</v>
      </c>
      <c r="E109" s="29">
        <v>2290.9799800000001</v>
      </c>
      <c r="F109" s="29">
        <v>704.73999000000003</v>
      </c>
      <c r="G109" s="29">
        <v>2307.1201169999999</v>
      </c>
      <c r="H109" s="29">
        <v>303.57000699999998</v>
      </c>
      <c r="I109" s="29">
        <v>153.73632799999999</v>
      </c>
      <c r="J109" s="29">
        <v>273.64999399999999</v>
      </c>
      <c r="K109" s="29">
        <v>149.48263499999999</v>
      </c>
      <c r="L109" s="26">
        <v>4186.72</v>
      </c>
      <c r="N109" s="3">
        <f t="shared" si="49"/>
        <v>-2.8693539839174737E-2</v>
      </c>
      <c r="O109" s="3">
        <f t="shared" si="50"/>
        <v>-6.0453805979555405E-3</v>
      </c>
      <c r="P109" s="3">
        <f t="shared" si="51"/>
        <v>1.1946182359375007E-2</v>
      </c>
      <c r="Q109" s="3">
        <f t="shared" si="52"/>
        <v>2.9275108260304765E-2</v>
      </c>
      <c r="R109" s="3">
        <f t="shared" si="53"/>
        <v>-1.478072836669346E-2</v>
      </c>
      <c r="S109" s="3">
        <f t="shared" si="54"/>
        <v>3.1062590710025418E-2</v>
      </c>
      <c r="T109" s="3">
        <f t="shared" si="55"/>
        <v>1.1561197515676511E-2</v>
      </c>
      <c r="U109" s="3">
        <f t="shared" si="56"/>
        <v>-6.8496252334834173E-3</v>
      </c>
      <c r="V109" s="3">
        <f t="shared" si="57"/>
        <v>-2.561223472247499E-3</v>
      </c>
      <c r="W109" s="3">
        <f t="shared" si="58"/>
        <v>6.4584604710646101E-3</v>
      </c>
      <c r="X109" s="3">
        <f t="shared" si="59"/>
        <v>-8.4588829283031668E-4</v>
      </c>
      <c r="AK109" s="3"/>
      <c r="AL109" s="8"/>
      <c r="AW109" s="3"/>
      <c r="AY109" s="5"/>
      <c r="AZ109" s="28">
        <v>44309</v>
      </c>
      <c r="BA109" s="3">
        <f t="shared" si="68"/>
        <v>104</v>
      </c>
      <c r="BB109" s="3">
        <f t="shared" si="60"/>
        <v>1.2421603358089248</v>
      </c>
      <c r="BC109" s="3">
        <f t="shared" si="61"/>
        <v>1.2318903308949356</v>
      </c>
      <c r="BD109" s="3">
        <f t="shared" si="62"/>
        <v>2.1816243046404797</v>
      </c>
      <c r="BE109" s="3">
        <f t="shared" si="63"/>
        <v>1.482051682468208</v>
      </c>
      <c r="BG109" s="3">
        <f t="shared" si="64"/>
        <v>6.3624083934546768E-3</v>
      </c>
      <c r="BH109" s="3">
        <f t="shared" si="65"/>
        <v>4.9149138729122303E-3</v>
      </c>
      <c r="BI109" s="3">
        <f t="shared" si="66"/>
        <v>9.2249506636669296E-3</v>
      </c>
      <c r="BJ109" s="3">
        <f t="shared" si="67"/>
        <v>1.2903382380715636E-2</v>
      </c>
    </row>
    <row r="110" spans="1:62" ht="13.5" x14ac:dyDescent="0.2">
      <c r="A110" s="28">
        <v>44314</v>
      </c>
      <c r="B110" s="29">
        <v>253.02536000000001</v>
      </c>
      <c r="C110" s="29">
        <v>132.959946</v>
      </c>
      <c r="D110" s="29">
        <v>3458.5</v>
      </c>
      <c r="E110" s="29">
        <v>2359.040039</v>
      </c>
      <c r="F110" s="29">
        <v>694.40002400000003</v>
      </c>
      <c r="G110" s="29">
        <v>2379.9099120000001</v>
      </c>
      <c r="H110" s="29">
        <v>307.10000600000001</v>
      </c>
      <c r="I110" s="29">
        <v>152.68689000000001</v>
      </c>
      <c r="J110" s="29">
        <v>272.95001200000002</v>
      </c>
      <c r="K110" s="29">
        <v>150.451187</v>
      </c>
      <c r="L110" s="26">
        <v>4183.18</v>
      </c>
      <c r="N110" s="3">
        <f t="shared" si="49"/>
        <v>-8.0857829270179413E-3</v>
      </c>
      <c r="O110" s="3">
        <f t="shared" si="50"/>
        <v>-7.4899462945807356E-4</v>
      </c>
      <c r="P110" s="3">
        <f t="shared" si="51"/>
        <v>3.6970922672089805E-3</v>
      </c>
      <c r="Q110" s="3">
        <f t="shared" si="52"/>
        <v>1.4192742404669178E-2</v>
      </c>
      <c r="R110" s="3">
        <f t="shared" si="53"/>
        <v>-2.5376924996076904E-2</v>
      </c>
      <c r="S110" s="3">
        <f t="shared" si="54"/>
        <v>2.0783309937091033E-2</v>
      </c>
      <c r="T110" s="3">
        <f t="shared" si="55"/>
        <v>7.0433285859402797E-2</v>
      </c>
      <c r="U110" s="3">
        <f t="shared" si="56"/>
        <v>3.1369357670734191E-3</v>
      </c>
      <c r="V110" s="3">
        <f t="shared" si="57"/>
        <v>1.689257805462039E-2</v>
      </c>
      <c r="W110" s="3">
        <f t="shared" si="58"/>
        <v>1.9257655255030579E-2</v>
      </c>
      <c r="X110" s="3">
        <f t="shared" si="59"/>
        <v>6.7400325437081072E-3</v>
      </c>
      <c r="AK110" s="3"/>
      <c r="AL110" s="8"/>
      <c r="AW110" s="3"/>
      <c r="AY110" s="5"/>
      <c r="AZ110" s="28">
        <v>44312</v>
      </c>
      <c r="BA110" s="3">
        <f t="shared" si="68"/>
        <v>105</v>
      </c>
      <c r="BB110" s="3">
        <f t="shared" si="60"/>
        <v>1.2500886620351277</v>
      </c>
      <c r="BC110" s="3">
        <f t="shared" si="61"/>
        <v>1.2379598691829576</v>
      </c>
      <c r="BD110" s="3">
        <f t="shared" si="62"/>
        <v>2.2018427951239357</v>
      </c>
      <c r="BE110" s="3">
        <f t="shared" si="63"/>
        <v>1.5012990732038873</v>
      </c>
      <c r="BG110" s="3">
        <f t="shared" si="64"/>
        <v>-6.0669673797089886E-3</v>
      </c>
      <c r="BH110" s="3">
        <f t="shared" si="65"/>
        <v>-2.1809431944014306E-3</v>
      </c>
      <c r="BI110" s="3">
        <f t="shared" si="66"/>
        <v>-1.6381974719579473E-2</v>
      </c>
      <c r="BJ110" s="3">
        <f t="shared" si="67"/>
        <v>-2.9837146023868652E-2</v>
      </c>
    </row>
    <row r="111" spans="1:62" ht="13.5" x14ac:dyDescent="0.2">
      <c r="A111" s="28">
        <v>44315</v>
      </c>
      <c r="B111" s="29">
        <v>250.98770099999999</v>
      </c>
      <c r="C111" s="29">
        <v>132.86039700000001</v>
      </c>
      <c r="D111" s="29">
        <v>3471.3100589999999</v>
      </c>
      <c r="E111" s="29">
        <v>2392.76001</v>
      </c>
      <c r="F111" s="29">
        <v>677</v>
      </c>
      <c r="G111" s="29">
        <v>2429.889893</v>
      </c>
      <c r="H111" s="29">
        <v>329.51001000000002</v>
      </c>
      <c r="I111" s="29">
        <v>153.16661099999999</v>
      </c>
      <c r="J111" s="29">
        <v>277.60000600000001</v>
      </c>
      <c r="K111" s="29">
        <v>153.37660199999999</v>
      </c>
      <c r="L111" s="26">
        <v>4211.47</v>
      </c>
      <c r="N111" s="3">
        <f t="shared" si="49"/>
        <v>-1.3077035678713208E-3</v>
      </c>
      <c r="O111" s="3">
        <f t="shared" si="50"/>
        <v>-1.5248890971941492E-2</v>
      </c>
      <c r="P111" s="3">
        <f t="shared" si="51"/>
        <v>-1.1212822571947778E-3</v>
      </c>
      <c r="Q111" s="3">
        <f t="shared" si="52"/>
        <v>-1.6543933696969812E-2</v>
      </c>
      <c r="R111" s="3">
        <f t="shared" si="53"/>
        <v>4.6804656334796642E-2</v>
      </c>
      <c r="S111" s="3">
        <f t="shared" si="54"/>
        <v>-8.1693574638487983E-3</v>
      </c>
      <c r="T111" s="3">
        <f t="shared" si="55"/>
        <v>-1.3535466948942169E-2</v>
      </c>
      <c r="U111" s="3">
        <f t="shared" si="56"/>
        <v>-2.0785714468375429E-2</v>
      </c>
      <c r="V111" s="3">
        <f t="shared" si="57"/>
        <v>-9.5919436483603154E-3</v>
      </c>
      <c r="W111" s="3">
        <f t="shared" si="58"/>
        <v>-8.9322056144010339E-3</v>
      </c>
      <c r="X111" s="3">
        <f t="shared" si="59"/>
        <v>-7.2206437182024286E-3</v>
      </c>
      <c r="AK111" s="3"/>
      <c r="AL111" s="8"/>
      <c r="AW111" s="3"/>
      <c r="AY111" s="5"/>
      <c r="AZ111" s="28">
        <v>44313</v>
      </c>
      <c r="BA111" s="3">
        <f t="shared" si="68"/>
        <v>106</v>
      </c>
      <c r="BB111" s="3">
        <f t="shared" si="60"/>
        <v>1.2425273751343362</v>
      </c>
      <c r="BC111" s="3">
        <f t="shared" si="61"/>
        <v>1.2352628910783598</v>
      </c>
      <c r="BD111" s="3">
        <f t="shared" si="62"/>
        <v>2.1660661086142086</v>
      </c>
      <c r="BE111" s="3">
        <f t="shared" si="63"/>
        <v>1.457166266109539</v>
      </c>
      <c r="BG111" s="3">
        <f t="shared" si="64"/>
        <v>3.3374439032562279E-3</v>
      </c>
      <c r="BH111" s="3">
        <f t="shared" si="65"/>
        <v>3.9661152757302851E-3</v>
      </c>
      <c r="BI111" s="3">
        <f t="shared" si="66"/>
        <v>-3.8875576145818622E-3</v>
      </c>
      <c r="BJ111" s="3">
        <f t="shared" si="67"/>
        <v>-1.3238648610344276E-2</v>
      </c>
    </row>
    <row r="112" spans="1:62" ht="13.5" x14ac:dyDescent="0.2">
      <c r="A112" s="28">
        <v>44316</v>
      </c>
      <c r="B112" s="29">
        <v>250.65969799999999</v>
      </c>
      <c r="C112" s="29">
        <v>130.84979200000001</v>
      </c>
      <c r="D112" s="29">
        <v>3467.419922</v>
      </c>
      <c r="E112" s="29">
        <v>2353.5</v>
      </c>
      <c r="F112" s="29">
        <v>709.44000200000005</v>
      </c>
      <c r="G112" s="29">
        <v>2410.1201169999999</v>
      </c>
      <c r="H112" s="29">
        <v>325.07998700000002</v>
      </c>
      <c r="I112" s="29">
        <v>150.015793</v>
      </c>
      <c r="J112" s="29">
        <v>274.95001200000002</v>
      </c>
      <c r="K112" s="29">
        <v>152.012711</v>
      </c>
      <c r="L112" s="26">
        <v>4181.17</v>
      </c>
      <c r="N112" s="3">
        <f t="shared" si="49"/>
        <v>-1.2697333343915942E-3</v>
      </c>
      <c r="O112" s="3">
        <f t="shared" si="50"/>
        <v>8.1817131260633006E-3</v>
      </c>
      <c r="P112" s="3">
        <f t="shared" si="51"/>
        <v>-2.3616795254190515E-2</v>
      </c>
      <c r="Q112" s="3">
        <f t="shared" si="52"/>
        <v>-4.4372453672911179E-3</v>
      </c>
      <c r="R112" s="3">
        <f t="shared" si="53"/>
        <v>-3.5203052001600808E-2</v>
      </c>
      <c r="S112" s="3">
        <f t="shared" si="54"/>
        <v>-6.2224103502276007E-3</v>
      </c>
      <c r="T112" s="3">
        <f t="shared" si="55"/>
        <v>-7.72013870589196E-3</v>
      </c>
      <c r="U112" s="3">
        <f t="shared" si="56"/>
        <v>-1.157615408269096E-2</v>
      </c>
      <c r="V112" s="3">
        <f t="shared" si="57"/>
        <v>1.526740341306084E-2</v>
      </c>
      <c r="W112" s="3">
        <f t="shared" si="58"/>
        <v>-2.9299183661046766E-3</v>
      </c>
      <c r="X112" s="3">
        <f t="shared" si="59"/>
        <v>2.7442656970409606E-3</v>
      </c>
      <c r="AK112" s="3"/>
      <c r="AL112" s="8"/>
      <c r="AW112" s="3"/>
      <c r="AY112" s="5"/>
      <c r="AZ112" s="28">
        <v>44314</v>
      </c>
      <c r="BA112" s="3">
        <f t="shared" si="68"/>
        <v>107</v>
      </c>
      <c r="BB112" s="3">
        <f t="shared" si="60"/>
        <v>1.2466811682172116</v>
      </c>
      <c r="BC112" s="3">
        <f t="shared" si="61"/>
        <v>1.2401718143431752</v>
      </c>
      <c r="BD112" s="3">
        <f t="shared" si="62"/>
        <v>2.1576617486214817</v>
      </c>
      <c r="BE112" s="3">
        <f t="shared" si="63"/>
        <v>1.438002485116082</v>
      </c>
      <c r="BG112" s="3">
        <f t="shared" si="64"/>
        <v>1.1127812165651785E-2</v>
      </c>
      <c r="BH112" s="3">
        <f t="shared" si="65"/>
        <v>1.295522676889229E-2</v>
      </c>
      <c r="BI112" s="3">
        <f t="shared" si="66"/>
        <v>-4.503843541127369E-3</v>
      </c>
      <c r="BJ112" s="3">
        <f t="shared" si="67"/>
        <v>-2.4599741767937638E-2</v>
      </c>
    </row>
    <row r="113" spans="1:62" ht="13.5" x14ac:dyDescent="0.2">
      <c r="A113" s="28">
        <v>44319</v>
      </c>
      <c r="B113" s="29">
        <v>250.34162900000001</v>
      </c>
      <c r="C113" s="29">
        <v>131.92475899999999</v>
      </c>
      <c r="D113" s="29">
        <v>3386.48999</v>
      </c>
      <c r="E113" s="29">
        <v>2343.080078</v>
      </c>
      <c r="F113" s="29">
        <v>684.90002400000003</v>
      </c>
      <c r="G113" s="29">
        <v>2395.169922</v>
      </c>
      <c r="H113" s="29">
        <v>322.57998700000002</v>
      </c>
      <c r="I113" s="29">
        <v>148.28919999999999</v>
      </c>
      <c r="J113" s="29">
        <v>279.17999300000002</v>
      </c>
      <c r="K113" s="29">
        <v>151.56797800000001</v>
      </c>
      <c r="L113" s="26">
        <v>4192.66</v>
      </c>
      <c r="N113" s="3">
        <f t="shared" si="49"/>
        <v>-1.6291794887328005E-2</v>
      </c>
      <c r="O113" s="3">
        <f t="shared" si="50"/>
        <v>-3.6026719208914912E-2</v>
      </c>
      <c r="P113" s="3">
        <f t="shared" si="51"/>
        <v>-2.2280963941918166E-2</v>
      </c>
      <c r="Q113" s="3">
        <f t="shared" si="52"/>
        <v>-1.5592014975967829E-2</v>
      </c>
      <c r="R113" s="3">
        <f t="shared" si="53"/>
        <v>-1.6636449946808299E-2</v>
      </c>
      <c r="S113" s="3">
        <f t="shared" si="54"/>
        <v>-1.7231971581113375E-2</v>
      </c>
      <c r="T113" s="3">
        <f t="shared" si="55"/>
        <v>-1.3168356367779546E-2</v>
      </c>
      <c r="U113" s="3">
        <f t="shared" si="56"/>
        <v>-3.3270235711527034E-2</v>
      </c>
      <c r="V113" s="3">
        <f t="shared" si="57"/>
        <v>3.861069412041705E-3</v>
      </c>
      <c r="W113" s="3">
        <f t="shared" si="58"/>
        <v>1.3729022499251956E-2</v>
      </c>
      <c r="X113" s="3">
        <f t="shared" si="59"/>
        <v>-6.7007377404054557E-3</v>
      </c>
      <c r="AK113" s="3"/>
      <c r="AL113" s="8"/>
      <c r="AW113" s="3"/>
      <c r="AY113" s="5"/>
      <c r="AZ113" s="28">
        <v>44315</v>
      </c>
      <c r="BA113" s="3">
        <f t="shared" si="68"/>
        <v>108</v>
      </c>
      <c r="BB113" s="3">
        <f t="shared" si="60"/>
        <v>1.260631476338633</v>
      </c>
      <c r="BC113" s="3">
        <f t="shared" si="61"/>
        <v>1.2563430462403917</v>
      </c>
      <c r="BD113" s="3">
        <f t="shared" si="62"/>
        <v>2.1479658285343666</v>
      </c>
      <c r="BE113" s="3">
        <f t="shared" si="63"/>
        <v>1.403059551015714</v>
      </c>
      <c r="BG113" s="3">
        <f t="shared" si="64"/>
        <v>-4.1473164581745867E-3</v>
      </c>
      <c r="BH113" s="3">
        <f t="shared" si="65"/>
        <v>-6.9631993700810472E-3</v>
      </c>
      <c r="BI113" s="3">
        <f t="shared" si="66"/>
        <v>5.7723091035485428E-3</v>
      </c>
      <c r="BJ113" s="3">
        <f t="shared" si="67"/>
        <v>2.0630857039123304E-2</v>
      </c>
    </row>
    <row r="114" spans="1:62" ht="13.5" x14ac:dyDescent="0.2">
      <c r="A114" s="28">
        <v>44320</v>
      </c>
      <c r="B114" s="29">
        <v>246.29615799999999</v>
      </c>
      <c r="C114" s="29">
        <v>127.25653800000001</v>
      </c>
      <c r="D114" s="29">
        <v>3311.8701169999999</v>
      </c>
      <c r="E114" s="29">
        <v>2306.830078</v>
      </c>
      <c r="F114" s="29">
        <v>673.59997599999997</v>
      </c>
      <c r="G114" s="29">
        <v>2354.25</v>
      </c>
      <c r="H114" s="29">
        <v>318.35998499999999</v>
      </c>
      <c r="I114" s="29">
        <v>143.43675200000001</v>
      </c>
      <c r="J114" s="29">
        <v>280.26001000000002</v>
      </c>
      <c r="K114" s="29">
        <v>153.663208</v>
      </c>
      <c r="L114" s="26">
        <v>4164.66</v>
      </c>
      <c r="N114" s="3">
        <f t="shared" si="49"/>
        <v>-5.3412691232577452E-3</v>
      </c>
      <c r="O114" s="3">
        <f t="shared" si="50"/>
        <v>1.9535735578993518E-3</v>
      </c>
      <c r="P114" s="3">
        <f t="shared" si="51"/>
        <v>-1.2557899057645726E-2</v>
      </c>
      <c r="Q114" s="3">
        <f t="shared" si="52"/>
        <v>3.4360176749856446E-3</v>
      </c>
      <c r="R114" s="3">
        <f t="shared" si="53"/>
        <v>-3.9567101221289072E-3</v>
      </c>
      <c r="S114" s="3">
        <f t="shared" si="54"/>
        <v>1.0570985025045337E-3</v>
      </c>
      <c r="T114" s="3">
        <f t="shared" si="55"/>
        <v>-1.0546676866004648E-2</v>
      </c>
      <c r="U114" s="3">
        <f t="shared" si="56"/>
        <v>7.4454033661032508E-3</v>
      </c>
      <c r="V114" s="3">
        <f t="shared" si="57"/>
        <v>8.8807372452095364E-3</v>
      </c>
      <c r="W114" s="3">
        <f t="shared" si="58"/>
        <v>1.3035402265369686E-2</v>
      </c>
      <c r="X114" s="3">
        <f t="shared" si="59"/>
        <v>7.0329145687402232E-4</v>
      </c>
      <c r="AK114" s="3"/>
      <c r="AL114" s="8"/>
      <c r="AW114" s="3"/>
      <c r="AY114" s="5"/>
      <c r="AZ114" s="28">
        <v>44316</v>
      </c>
      <c r="BA114" s="3">
        <f t="shared" si="68"/>
        <v>109</v>
      </c>
      <c r="BB114" s="3">
        <f t="shared" si="60"/>
        <v>1.2554140652748964</v>
      </c>
      <c r="BC114" s="3">
        <f t="shared" si="61"/>
        <v>1.2476252661767961</v>
      </c>
      <c r="BD114" s="3">
        <f t="shared" si="62"/>
        <v>2.1604004048232919</v>
      </c>
      <c r="BE114" s="3">
        <f t="shared" si="63"/>
        <v>1.4323065297848832</v>
      </c>
      <c r="BG114" s="3">
        <f t="shared" si="64"/>
        <v>-7.2706101505968183E-3</v>
      </c>
      <c r="BH114" s="3">
        <f t="shared" si="65"/>
        <v>-3.7851158336818622E-3</v>
      </c>
      <c r="BI114" s="3">
        <f t="shared" si="66"/>
        <v>-1.4699368464152096E-2</v>
      </c>
      <c r="BJ114" s="3">
        <f t="shared" si="67"/>
        <v>-2.5229479716848649E-2</v>
      </c>
    </row>
    <row r="115" spans="1:62" ht="13.5" x14ac:dyDescent="0.2">
      <c r="A115" s="28">
        <v>44321</v>
      </c>
      <c r="B115" s="29">
        <v>244.98413099999999</v>
      </c>
      <c r="C115" s="29">
        <v>127.505386</v>
      </c>
      <c r="D115" s="29">
        <v>3270.540039</v>
      </c>
      <c r="E115" s="29">
        <v>2314.7700199999999</v>
      </c>
      <c r="F115" s="29">
        <v>670.94000200000005</v>
      </c>
      <c r="G115" s="29">
        <v>2356.73999</v>
      </c>
      <c r="H115" s="29">
        <v>315.01998900000001</v>
      </c>
      <c r="I115" s="29">
        <v>144.50868199999999</v>
      </c>
      <c r="J115" s="29">
        <v>282.76001000000002</v>
      </c>
      <c r="K115" s="29">
        <v>155.679382</v>
      </c>
      <c r="L115" s="26">
        <v>4167.59</v>
      </c>
      <c r="N115" s="3">
        <f t="shared" si="49"/>
        <v>1.3140028796572315E-2</v>
      </c>
      <c r="O115" s="3">
        <f t="shared" si="50"/>
        <v>1.2721103713197991E-2</v>
      </c>
      <c r="P115" s="3">
        <f t="shared" si="51"/>
        <v>1.0895825433335442E-2</v>
      </c>
      <c r="Q115" s="3">
        <f t="shared" si="52"/>
        <v>9.7075117356923441E-3</v>
      </c>
      <c r="R115" s="3">
        <f t="shared" si="53"/>
        <v>-1.1090612016709862E-2</v>
      </c>
      <c r="S115" s="3">
        <f t="shared" si="54"/>
        <v>1.0388291004361845E-2</v>
      </c>
      <c r="T115" s="3">
        <f t="shared" si="55"/>
        <v>1.5747365512705443E-2</v>
      </c>
      <c r="U115" s="3">
        <f t="shared" si="56"/>
        <v>4.4511878738753251E-3</v>
      </c>
      <c r="V115" s="3">
        <f t="shared" si="57"/>
        <v>2.4281874912953423E-2</v>
      </c>
      <c r="W115" s="3">
        <f t="shared" si="58"/>
        <v>1.9924648931264482E-2</v>
      </c>
      <c r="X115" s="3">
        <f t="shared" si="59"/>
        <v>8.1322341159119176E-3</v>
      </c>
      <c r="AK115" s="3"/>
      <c r="AL115" s="8"/>
      <c r="AW115" s="3"/>
      <c r="AY115" s="5"/>
      <c r="AZ115" s="28">
        <v>44319</v>
      </c>
      <c r="BA115" s="3">
        <f t="shared" si="68"/>
        <v>110</v>
      </c>
      <c r="BB115" s="3">
        <f t="shared" si="60"/>
        <v>1.2463195404636001</v>
      </c>
      <c r="BC115" s="3">
        <f t="shared" si="61"/>
        <v>1.2429117861886971</v>
      </c>
      <c r="BD115" s="3">
        <f t="shared" si="62"/>
        <v>2.1288761442260338</v>
      </c>
      <c r="BE115" s="3">
        <f t="shared" si="63"/>
        <v>1.3966222223134468</v>
      </c>
      <c r="BG115" s="3">
        <f t="shared" si="64"/>
        <v>-1.4564139638986203E-2</v>
      </c>
      <c r="BH115" s="3">
        <f t="shared" si="65"/>
        <v>-1.2292596413392413E-2</v>
      </c>
      <c r="BI115" s="3">
        <f t="shared" si="66"/>
        <v>-2.2717730678471004E-2</v>
      </c>
      <c r="BJ115" s="3">
        <f t="shared" si="67"/>
        <v>-3.2029037748752931E-2</v>
      </c>
    </row>
    <row r="116" spans="1:62" ht="13.5" x14ac:dyDescent="0.2">
      <c r="A116" s="28">
        <v>44322</v>
      </c>
      <c r="B116" s="29">
        <v>248.22447199999999</v>
      </c>
      <c r="C116" s="29">
        <v>129.137756</v>
      </c>
      <c r="D116" s="29">
        <v>3306.3701169999999</v>
      </c>
      <c r="E116" s="29">
        <v>2337.3500979999999</v>
      </c>
      <c r="F116" s="29">
        <v>663.53997800000002</v>
      </c>
      <c r="G116" s="29">
        <v>2381.3500979999999</v>
      </c>
      <c r="H116" s="29">
        <v>320.01998900000001</v>
      </c>
      <c r="I116" s="29">
        <v>145.15335099999999</v>
      </c>
      <c r="J116" s="29">
        <v>289.709991</v>
      </c>
      <c r="K116" s="29">
        <v>158.81234699999999</v>
      </c>
      <c r="L116" s="26">
        <v>4201.62</v>
      </c>
      <c r="N116" s="3">
        <f t="shared" si="49"/>
        <v>1.0872506568058337E-2</v>
      </c>
      <c r="O116" s="3">
        <f t="shared" si="50"/>
        <v>5.3134176513267945E-3</v>
      </c>
      <c r="P116" s="3">
        <f t="shared" si="51"/>
        <v>-4.4741069601899478E-3</v>
      </c>
      <c r="Q116" s="3">
        <f t="shared" si="52"/>
        <v>6.218387849819677E-3</v>
      </c>
      <c r="R116" s="3">
        <f t="shared" si="53"/>
        <v>1.3219671643096682E-2</v>
      </c>
      <c r="S116" s="3">
        <f t="shared" si="54"/>
        <v>7.2551354876618174E-3</v>
      </c>
      <c r="T116" s="3">
        <f t="shared" si="55"/>
        <v>-2.9416451670819677E-3</v>
      </c>
      <c r="U116" s="3">
        <f t="shared" si="56"/>
        <v>1.9720857690235637E-2</v>
      </c>
      <c r="V116" s="3">
        <f t="shared" si="57"/>
        <v>4.2022727644051468E-3</v>
      </c>
      <c r="W116" s="3">
        <f t="shared" si="58"/>
        <v>3.4168369418685505E-3</v>
      </c>
      <c r="X116" s="3">
        <f t="shared" si="59"/>
        <v>7.3462962378118236E-3</v>
      </c>
      <c r="AK116" s="3"/>
      <c r="AL116" s="8"/>
      <c r="AW116" s="3"/>
      <c r="AY116" s="5"/>
      <c r="AZ116" s="28">
        <v>44320</v>
      </c>
      <c r="BA116" s="3">
        <f t="shared" si="68"/>
        <v>111</v>
      </c>
      <c r="BB116" s="3">
        <f t="shared" si="60"/>
        <v>1.2282995102835874</v>
      </c>
      <c r="BC116" s="3">
        <f t="shared" si="61"/>
        <v>1.2277266965281164</v>
      </c>
      <c r="BD116" s="3">
        <f t="shared" si="62"/>
        <v>2.0810581243194628</v>
      </c>
      <c r="BE116" s="3">
        <f t="shared" si="63"/>
        <v>1.3525985380018846</v>
      </c>
      <c r="BG116" s="3">
        <f t="shared" si="64"/>
        <v>6.4684695276038227E-4</v>
      </c>
      <c r="BH116" s="3">
        <f t="shared" si="65"/>
        <v>1.3810118222784033E-3</v>
      </c>
      <c r="BI116" s="3">
        <f t="shared" si="66"/>
        <v>-1.3829946275185194E-3</v>
      </c>
      <c r="BJ116" s="3">
        <f t="shared" si="67"/>
        <v>-4.1806112955869836E-3</v>
      </c>
    </row>
    <row r="117" spans="1:62" ht="13.5" x14ac:dyDescent="0.2">
      <c r="A117" s="28">
        <v>44323</v>
      </c>
      <c r="B117" s="29">
        <v>250.938019</v>
      </c>
      <c r="C117" s="29">
        <v>129.82574500000001</v>
      </c>
      <c r="D117" s="29">
        <v>3291.610107</v>
      </c>
      <c r="E117" s="29">
        <v>2351.929932</v>
      </c>
      <c r="F117" s="29">
        <v>672.36999500000002</v>
      </c>
      <c r="G117" s="29">
        <v>2398.6899410000001</v>
      </c>
      <c r="H117" s="29">
        <v>319.07998700000002</v>
      </c>
      <c r="I117" s="29">
        <v>148.04431199999999</v>
      </c>
      <c r="J117" s="29">
        <v>290.92999300000002</v>
      </c>
      <c r="K117" s="29">
        <v>159.35591099999999</v>
      </c>
      <c r="L117" s="26">
        <v>4232.6000000000004</v>
      </c>
      <c r="N117" s="3">
        <f t="shared" si="49"/>
        <v>-2.1136065303092748E-2</v>
      </c>
      <c r="O117" s="3">
        <f t="shared" si="50"/>
        <v>-2.6143415660914146E-2</v>
      </c>
      <c r="P117" s="3">
        <f t="shared" si="51"/>
        <v>-3.12023324058377E-2</v>
      </c>
      <c r="Q117" s="3">
        <f t="shared" si="52"/>
        <v>-2.5920520916550876E-2</v>
      </c>
      <c r="R117" s="3">
        <f t="shared" si="53"/>
        <v>-6.6613964093589079E-2</v>
      </c>
      <c r="S117" s="3">
        <f t="shared" si="54"/>
        <v>-2.4062688410184423E-2</v>
      </c>
      <c r="T117" s="3">
        <f t="shared" si="55"/>
        <v>-4.1954753101963477E-2</v>
      </c>
      <c r="U117" s="3">
        <f t="shared" si="56"/>
        <v>-3.7592860663182723E-2</v>
      </c>
      <c r="V117" s="3">
        <f t="shared" si="57"/>
        <v>4.8005923144285893E-3</v>
      </c>
      <c r="W117" s="3">
        <f t="shared" si="58"/>
        <v>-1.2400685414824204E-4</v>
      </c>
      <c r="X117" s="3">
        <f t="shared" si="59"/>
        <v>-1.0490499399026396E-2</v>
      </c>
      <c r="AK117" s="3"/>
      <c r="AL117" s="8"/>
      <c r="AW117" s="3"/>
      <c r="AY117" s="5"/>
      <c r="AZ117" s="28">
        <v>44321</v>
      </c>
      <c r="BA117" s="3">
        <f t="shared" si="68"/>
        <v>112</v>
      </c>
      <c r="BB117" s="3">
        <f t="shared" si="60"/>
        <v>1.2290942891013075</v>
      </c>
      <c r="BC117" s="3">
        <f t="shared" si="61"/>
        <v>1.2294233729059592</v>
      </c>
      <c r="BD117" s="3">
        <f t="shared" si="62"/>
        <v>2.0781820213898459</v>
      </c>
      <c r="BE117" s="3">
        <f t="shared" si="63"/>
        <v>1.3469556528488544</v>
      </c>
      <c r="BG117" s="3">
        <f t="shared" si="64"/>
        <v>1.0941700121867723E-2</v>
      </c>
      <c r="BH117" s="3">
        <f t="shared" si="65"/>
        <v>1.3475501223595036E-2</v>
      </c>
      <c r="BI117" s="3">
        <f t="shared" si="66"/>
        <v>3.7640729461736687E-3</v>
      </c>
      <c r="BJ117" s="3">
        <f t="shared" si="67"/>
        <v>-6.0139828028796709E-3</v>
      </c>
    </row>
    <row r="118" spans="1:62" ht="13.5" x14ac:dyDescent="0.2">
      <c r="A118" s="28">
        <v>44326</v>
      </c>
      <c r="B118" s="29">
        <v>245.68983499999999</v>
      </c>
      <c r="C118" s="29">
        <v>126.475639</v>
      </c>
      <c r="D118" s="29">
        <v>3190.48999</v>
      </c>
      <c r="E118" s="29">
        <v>2291.75</v>
      </c>
      <c r="F118" s="29">
        <v>629.03997800000002</v>
      </c>
      <c r="G118" s="29">
        <v>2341.6599120000001</v>
      </c>
      <c r="H118" s="29">
        <v>305.97000100000002</v>
      </c>
      <c r="I118" s="29">
        <v>142.58221399999999</v>
      </c>
      <c r="J118" s="29">
        <v>292.32998700000002</v>
      </c>
      <c r="K118" s="29">
        <v>159.336151</v>
      </c>
      <c r="L118" s="26">
        <v>4188.43</v>
      </c>
      <c r="N118" s="3">
        <f t="shared" si="49"/>
        <v>-3.850705505889286E-3</v>
      </c>
      <c r="O118" s="3">
        <f t="shared" si="50"/>
        <v>-7.4378494356446972E-3</v>
      </c>
      <c r="P118" s="3">
        <f t="shared" si="51"/>
        <v>1.0420374443861421E-2</v>
      </c>
      <c r="Q118" s="3">
        <f t="shared" si="52"/>
        <v>-9.5094290071846017E-3</v>
      </c>
      <c r="R118" s="3">
        <f t="shared" si="53"/>
        <v>-1.9001672777681621E-2</v>
      </c>
      <c r="S118" s="3">
        <f t="shared" si="54"/>
        <v>-1.4149453790985507E-2</v>
      </c>
      <c r="T118" s="3">
        <f t="shared" si="55"/>
        <v>1.8285654074660001E-3</v>
      </c>
      <c r="U118" s="3">
        <f t="shared" si="56"/>
        <v>2.8349433430323481E-3</v>
      </c>
      <c r="V118" s="3">
        <f t="shared" si="57"/>
        <v>-2.3185972189347526E-2</v>
      </c>
      <c r="W118" s="3">
        <f t="shared" si="58"/>
        <v>-1.6763045426915368E-2</v>
      </c>
      <c r="X118" s="3">
        <f t="shared" si="59"/>
        <v>-8.711731693215893E-3</v>
      </c>
      <c r="AK118" s="3"/>
      <c r="AL118" s="8"/>
      <c r="AW118" s="3"/>
      <c r="AY118" s="5"/>
      <c r="AZ118" s="28">
        <v>44322</v>
      </c>
      <c r="BA118" s="3">
        <f t="shared" si="68"/>
        <v>113</v>
      </c>
      <c r="BB118" s="3">
        <f t="shared" si="60"/>
        <v>1.2426165133883607</v>
      </c>
      <c r="BC118" s="3">
        <f t="shared" si="61"/>
        <v>1.2461025971286888</v>
      </c>
      <c r="BD118" s="3">
        <f t="shared" si="62"/>
        <v>2.0860191906990271</v>
      </c>
      <c r="BE118" s="3">
        <f t="shared" si="63"/>
        <v>1.3388793942982187</v>
      </c>
      <c r="BG118" s="3">
        <f t="shared" si="64"/>
        <v>6.3689834736832913E-3</v>
      </c>
      <c r="BH118" s="3">
        <f t="shared" si="65"/>
        <v>5.5125893748311167E-3</v>
      </c>
      <c r="BI118" s="3">
        <f t="shared" si="66"/>
        <v>9.7832637495375054E-3</v>
      </c>
      <c r="BJ118" s="3">
        <f t="shared" si="67"/>
        <v>1.3914484024520357E-2</v>
      </c>
    </row>
    <row r="119" spans="1:62" ht="13.5" x14ac:dyDescent="0.2">
      <c r="A119" s="28">
        <v>44327</v>
      </c>
      <c r="B119" s="29">
        <v>244.745575</v>
      </c>
      <c r="C119" s="29">
        <v>125.538422</v>
      </c>
      <c r="D119" s="29">
        <v>3223.9099120000001</v>
      </c>
      <c r="E119" s="29">
        <v>2270.0600589999999</v>
      </c>
      <c r="F119" s="29">
        <v>617.20001200000002</v>
      </c>
      <c r="G119" s="29">
        <v>2308.76001</v>
      </c>
      <c r="H119" s="29">
        <v>306.52999899999998</v>
      </c>
      <c r="I119" s="29">
        <v>142.98699999999999</v>
      </c>
      <c r="J119" s="29">
        <v>285.63000499999998</v>
      </c>
      <c r="K119" s="29">
        <v>156.687454</v>
      </c>
      <c r="L119" s="26">
        <v>4152.1000000000004</v>
      </c>
      <c r="N119" s="3">
        <f t="shared" si="49"/>
        <v>-2.9802522800405132E-2</v>
      </c>
      <c r="O119" s="3">
        <f t="shared" si="50"/>
        <v>-2.52547172259243E-2</v>
      </c>
      <c r="P119" s="3">
        <f t="shared" si="51"/>
        <v>-2.2576763763102206E-2</v>
      </c>
      <c r="Q119" s="3">
        <f t="shared" si="52"/>
        <v>-3.1235298580779277E-2</v>
      </c>
      <c r="R119" s="3">
        <f t="shared" si="53"/>
        <v>-4.5257035663605213E-2</v>
      </c>
      <c r="S119" s="3">
        <f t="shared" si="54"/>
        <v>-3.0645486150637481E-2</v>
      </c>
      <c r="T119" s="3">
        <f t="shared" si="55"/>
        <v>-1.3069113200832755E-2</v>
      </c>
      <c r="U119" s="3">
        <f t="shared" si="56"/>
        <v>-3.9039694898561413E-2</v>
      </c>
      <c r="V119" s="3">
        <f t="shared" si="57"/>
        <v>-9.568444469743427E-3</v>
      </c>
      <c r="W119" s="3">
        <f t="shared" si="58"/>
        <v>-6.8990228664802247E-3</v>
      </c>
      <c r="X119" s="3">
        <f t="shared" si="59"/>
        <v>-2.1682768452684537E-2</v>
      </c>
      <c r="AK119" s="3"/>
      <c r="AL119" s="8"/>
      <c r="AW119" s="3"/>
      <c r="AY119" s="5"/>
      <c r="AZ119" s="28">
        <v>44323</v>
      </c>
      <c r="BA119" s="3">
        <f t="shared" si="68"/>
        <v>114</v>
      </c>
      <c r="BB119" s="3">
        <f t="shared" si="60"/>
        <v>1.2505559737341516</v>
      </c>
      <c r="BC119" s="3">
        <f t="shared" si="61"/>
        <v>1.2529908175873961</v>
      </c>
      <c r="BD119" s="3">
        <f t="shared" si="62"/>
        <v>2.1065274217712235</v>
      </c>
      <c r="BE119" s="3">
        <f t="shared" si="63"/>
        <v>1.3576394256381548</v>
      </c>
      <c r="BG119" s="3">
        <f t="shared" si="64"/>
        <v>-2.6479951617805027E-2</v>
      </c>
      <c r="BH119" s="3">
        <f t="shared" si="65"/>
        <v>-2.0939876050828535E-2</v>
      </c>
      <c r="BI119" s="3">
        <f t="shared" si="66"/>
        <v>-3.9634490981870475E-2</v>
      </c>
      <c r="BJ119" s="3">
        <f t="shared" si="67"/>
        <v>-5.789496413824944E-2</v>
      </c>
    </row>
    <row r="120" spans="1:62" ht="13.5" x14ac:dyDescent="0.2">
      <c r="A120" s="28">
        <v>44328</v>
      </c>
      <c r="B120" s="29">
        <v>237.559158</v>
      </c>
      <c r="C120" s="29">
        <v>122.407684</v>
      </c>
      <c r="D120" s="29">
        <v>3151.9399410000001</v>
      </c>
      <c r="E120" s="29">
        <v>2200.25</v>
      </c>
      <c r="F120" s="29">
        <v>589.89001499999995</v>
      </c>
      <c r="G120" s="29">
        <v>2239.080078</v>
      </c>
      <c r="H120" s="29">
        <v>302.54998799999998</v>
      </c>
      <c r="I120" s="29">
        <v>137.51239000000001</v>
      </c>
      <c r="J120" s="29">
        <v>282.91000400000001</v>
      </c>
      <c r="K120" s="29">
        <v>155.610184</v>
      </c>
      <c r="L120" s="26">
        <v>4063.04</v>
      </c>
      <c r="N120" s="3">
        <f t="shared" si="49"/>
        <v>1.6721350387083767E-2</v>
      </c>
      <c r="O120" s="3">
        <f t="shared" si="50"/>
        <v>1.7761002958377421E-2</v>
      </c>
      <c r="P120" s="3">
        <f t="shared" si="51"/>
        <v>3.0189825691963336E-3</v>
      </c>
      <c r="Q120" s="3">
        <f t="shared" si="52"/>
        <v>1.3000026734190257E-2</v>
      </c>
      <c r="R120" s="3">
        <f t="shared" si="53"/>
        <v>-3.1339214344147416E-2</v>
      </c>
      <c r="S120" s="3">
        <f t="shared" si="54"/>
        <v>1.0171000135070923E-2</v>
      </c>
      <c r="T120" s="3">
        <f t="shared" si="55"/>
        <v>8.9173918404710228E-3</v>
      </c>
      <c r="U120" s="3">
        <f t="shared" si="56"/>
        <v>-6.8008042170762126E-3</v>
      </c>
      <c r="V120" s="3">
        <f t="shared" si="57"/>
        <v>1.4004862072978597E-2</v>
      </c>
      <c r="W120" s="3">
        <f t="shared" si="58"/>
        <v>2.5397255123129316E-2</v>
      </c>
      <c r="X120" s="3">
        <f t="shared" si="59"/>
        <v>1.2099654192200689E-2</v>
      </c>
      <c r="AK120" s="3"/>
      <c r="AL120" s="8"/>
      <c r="AW120" s="3"/>
      <c r="AY120" s="5"/>
      <c r="AZ120" s="28">
        <v>44326</v>
      </c>
      <c r="BA120" s="3">
        <f t="shared" si="68"/>
        <v>115</v>
      </c>
      <c r="BB120" s="3">
        <f t="shared" si="60"/>
        <v>1.2178759049247008</v>
      </c>
      <c r="BC120" s="3">
        <f t="shared" si="61"/>
        <v>1.2270261424526541</v>
      </c>
      <c r="BD120" s="3">
        <f t="shared" si="62"/>
        <v>2.0246691997455697</v>
      </c>
      <c r="BE120" s="3">
        <f t="shared" si="63"/>
        <v>1.2812709449718271</v>
      </c>
      <c r="BG120" s="3">
        <f t="shared" si="64"/>
        <v>-8.6902537531159101E-3</v>
      </c>
      <c r="BH120" s="3">
        <f t="shared" si="65"/>
        <v>-9.6042808217141964E-3</v>
      </c>
      <c r="BI120" s="3">
        <f t="shared" si="66"/>
        <v>-7.3105191764820171E-3</v>
      </c>
      <c r="BJ120" s="3">
        <f t="shared" si="67"/>
        <v>-6.038070507518368E-3</v>
      </c>
    </row>
    <row r="121" spans="1:62" ht="13.5" x14ac:dyDescent="0.2">
      <c r="A121" s="28">
        <v>44329</v>
      </c>
      <c r="B121" s="29">
        <v>241.564865</v>
      </c>
      <c r="C121" s="29">
        <v>124.60118900000001</v>
      </c>
      <c r="D121" s="29">
        <v>3161.469971</v>
      </c>
      <c r="E121" s="29">
        <v>2229.040039</v>
      </c>
      <c r="F121" s="29">
        <v>571.69000200000005</v>
      </c>
      <c r="G121" s="29">
        <v>2261.969971</v>
      </c>
      <c r="H121" s="29">
        <v>305.26001000000002</v>
      </c>
      <c r="I121" s="29">
        <v>136.58036799999999</v>
      </c>
      <c r="J121" s="29">
        <v>286.89999399999999</v>
      </c>
      <c r="K121" s="29">
        <v>159.61286899999999</v>
      </c>
      <c r="L121" s="26">
        <v>4112.5</v>
      </c>
      <c r="N121" s="3">
        <f t="shared" si="49"/>
        <v>2.0848483265406816E-2</v>
      </c>
      <c r="O121" s="3">
        <f t="shared" si="50"/>
        <v>1.9650406324227036E-2</v>
      </c>
      <c r="P121" s="3">
        <f t="shared" si="51"/>
        <v>1.9244444819046299E-2</v>
      </c>
      <c r="Q121" s="3">
        <f t="shared" si="52"/>
        <v>2.1893595748851941E-2</v>
      </c>
      <c r="R121" s="3">
        <f t="shared" si="53"/>
        <v>3.1084854926070795E-2</v>
      </c>
      <c r="S121" s="3">
        <f t="shared" si="54"/>
        <v>2.3674501773437041E-2</v>
      </c>
      <c r="T121" s="3">
        <f t="shared" si="55"/>
        <v>3.438842322533181E-2</v>
      </c>
      <c r="U121" s="3">
        <f t="shared" si="56"/>
        <v>4.140951163125111E-2</v>
      </c>
      <c r="V121" s="3">
        <f t="shared" si="57"/>
        <v>1.3089279592862005E-2</v>
      </c>
      <c r="W121" s="3">
        <f t="shared" si="58"/>
        <v>1.54221441908633E-2</v>
      </c>
      <c r="X121" s="3">
        <f t="shared" si="59"/>
        <v>1.480775516646066E-2</v>
      </c>
      <c r="AK121" s="3"/>
      <c r="AL121" s="8"/>
      <c r="AW121" s="3"/>
      <c r="AY121" s="5"/>
      <c r="AZ121" s="28">
        <v>44327</v>
      </c>
      <c r="BA121" s="3">
        <f t="shared" si="68"/>
        <v>116</v>
      </c>
      <c r="BB121" s="3">
        <f t="shared" si="60"/>
        <v>1.2073381086511366</v>
      </c>
      <c r="BC121" s="3">
        <f t="shared" si="61"/>
        <v>1.2152978498662308</v>
      </c>
      <c r="BD121" s="3">
        <f t="shared" si="62"/>
        <v>2.0099217880324804</v>
      </c>
      <c r="BE121" s="3">
        <f t="shared" si="63"/>
        <v>1.2735578502057101</v>
      </c>
      <c r="BG121" s="3">
        <f t="shared" si="64"/>
        <v>-2.5055452397305E-2</v>
      </c>
      <c r="BH121" s="3">
        <f t="shared" si="65"/>
        <v>-2.2457378628785982E-2</v>
      </c>
      <c r="BI121" s="3">
        <f t="shared" si="66"/>
        <v>-3.4362105576765875E-2</v>
      </c>
      <c r="BJ121" s="3">
        <f t="shared" si="67"/>
        <v>-4.6552706059735306E-2</v>
      </c>
    </row>
    <row r="122" spans="1:62" ht="13.5" x14ac:dyDescent="0.2">
      <c r="A122" s="28">
        <v>44330</v>
      </c>
      <c r="B122" s="29">
        <v>246.65399199999999</v>
      </c>
      <c r="C122" s="29">
        <v>127.073868</v>
      </c>
      <c r="D122" s="29">
        <v>3222.8999020000001</v>
      </c>
      <c r="E122" s="29">
        <v>2278.3798830000001</v>
      </c>
      <c r="F122" s="29">
        <v>589.73999000000003</v>
      </c>
      <c r="G122" s="29">
        <v>2316.1599120000001</v>
      </c>
      <c r="H122" s="29">
        <v>315.94000199999999</v>
      </c>
      <c r="I122" s="29">
        <v>142.354828</v>
      </c>
      <c r="J122" s="29">
        <v>290.67999300000002</v>
      </c>
      <c r="K122" s="29">
        <v>162.09352100000001</v>
      </c>
      <c r="L122" s="26">
        <v>4173.8500000000004</v>
      </c>
      <c r="N122" s="3">
        <f t="shared" si="49"/>
        <v>-1.2040738940795661E-2</v>
      </c>
      <c r="O122" s="3">
        <f t="shared" si="50"/>
        <v>-9.301631018622308E-3</v>
      </c>
      <c r="P122" s="3">
        <f t="shared" si="51"/>
        <v>1.4627666183694684E-2</v>
      </c>
      <c r="Q122" s="3">
        <f t="shared" si="52"/>
        <v>4.6154437679185624E-3</v>
      </c>
      <c r="R122" s="3">
        <f t="shared" si="53"/>
        <v>-2.2134119664637415E-2</v>
      </c>
      <c r="S122" s="3">
        <f t="shared" si="54"/>
        <v>2.2641178211725275E-3</v>
      </c>
      <c r="T122" s="3">
        <f t="shared" si="55"/>
        <v>-1.5204659417053918E-3</v>
      </c>
      <c r="U122" s="3">
        <f t="shared" si="56"/>
        <v>-5.4561696210354213E-3</v>
      </c>
      <c r="V122" s="3">
        <f t="shared" si="57"/>
        <v>-5.0353340227491019E-3</v>
      </c>
      <c r="W122" s="3">
        <f t="shared" si="58"/>
        <v>4.0161322625514402E-3</v>
      </c>
      <c r="X122" s="3">
        <f t="shared" si="59"/>
        <v>-2.5332441694025701E-3</v>
      </c>
      <c r="AK122" s="3"/>
      <c r="AL122" s="8"/>
      <c r="AW122" s="3"/>
      <c r="AY122" s="5"/>
      <c r="AZ122" s="28">
        <v>44328</v>
      </c>
      <c r="BA122" s="3">
        <f t="shared" si="68"/>
        <v>117</v>
      </c>
      <c r="BB122" s="3">
        <f t="shared" si="60"/>
        <v>1.1774635295511757</v>
      </c>
      <c r="BC122" s="3">
        <f t="shared" si="61"/>
        <v>1.1883096225713343</v>
      </c>
      <c r="BD122" s="3">
        <f t="shared" si="62"/>
        <v>1.9420297797135055</v>
      </c>
      <c r="BE122" s="3">
        <f t="shared" si="63"/>
        <v>1.2156291169327016</v>
      </c>
      <c r="BG122" s="3">
        <f t="shared" si="64"/>
        <v>7.6092659375669594E-3</v>
      </c>
      <c r="BH122" s="3">
        <f t="shared" si="65"/>
        <v>1.1114087964659644E-2</v>
      </c>
      <c r="BI122" s="3">
        <f t="shared" si="66"/>
        <v>-1.8498370847241023E-3</v>
      </c>
      <c r="BJ122" s="3">
        <f t="shared" si="67"/>
        <v>-1.6330522144474315E-2</v>
      </c>
    </row>
    <row r="123" spans="1:62" ht="13.5" x14ac:dyDescent="0.2">
      <c r="A123" s="28">
        <v>44333</v>
      </c>
      <c r="B123" s="29">
        <v>243.70190400000001</v>
      </c>
      <c r="C123" s="29">
        <v>125.89735400000001</v>
      </c>
      <c r="D123" s="29">
        <v>3270.389893</v>
      </c>
      <c r="E123" s="29">
        <v>2288.919922</v>
      </c>
      <c r="F123" s="29">
        <v>576.830017</v>
      </c>
      <c r="G123" s="29">
        <v>2321.4099120000001</v>
      </c>
      <c r="H123" s="29">
        <v>315.459991</v>
      </c>
      <c r="I123" s="29">
        <v>141.580231</v>
      </c>
      <c r="J123" s="29">
        <v>289.22000100000002</v>
      </c>
      <c r="K123" s="29">
        <v>162.74581900000001</v>
      </c>
      <c r="L123" s="26">
        <v>4163.29</v>
      </c>
      <c r="N123" s="3">
        <f t="shared" si="49"/>
        <v>-8.6019698410496909E-3</v>
      </c>
      <c r="O123" s="3">
        <f t="shared" si="50"/>
        <v>-1.1309460197414105E-2</v>
      </c>
      <c r="P123" s="3">
        <f t="shared" si="51"/>
        <v>-1.1721431593035328E-2</v>
      </c>
      <c r="Q123" s="3">
        <f t="shared" si="52"/>
        <v>-1.1622932505068828E-2</v>
      </c>
      <c r="R123" s="3">
        <f t="shared" si="53"/>
        <v>1.8012960429388452E-3</v>
      </c>
      <c r="S123" s="3">
        <f t="shared" si="54"/>
        <v>-7.7754349087154088E-3</v>
      </c>
      <c r="T123" s="3">
        <f t="shared" si="55"/>
        <v>-1.7588634669817124E-2</v>
      </c>
      <c r="U123" s="3">
        <f t="shared" si="56"/>
        <v>-1.0627586722058522E-2</v>
      </c>
      <c r="V123" s="3">
        <f t="shared" si="57"/>
        <v>-5.6518068251316831E-3</v>
      </c>
      <c r="W123" s="3">
        <f t="shared" si="58"/>
        <v>-1.4188887732590031E-2</v>
      </c>
      <c r="X123" s="3">
        <f t="shared" si="59"/>
        <v>-8.5537819278382349E-3</v>
      </c>
      <c r="AK123" s="3"/>
      <c r="AL123" s="8"/>
      <c r="AW123" s="3"/>
      <c r="AY123" s="5"/>
      <c r="AZ123" s="28">
        <v>44329</v>
      </c>
      <c r="BA123" s="3">
        <f t="shared" si="68"/>
        <v>118</v>
      </c>
      <c r="BB123" s="3">
        <f t="shared" si="60"/>
        <v>1.1864573374214784</v>
      </c>
      <c r="BC123" s="3">
        <f t="shared" si="61"/>
        <v>1.2015902646529442</v>
      </c>
      <c r="BD123" s="3">
        <f t="shared" si="62"/>
        <v>1.9384406616726457</v>
      </c>
      <c r="BE123" s="3">
        <f t="shared" si="63"/>
        <v>1.1959384755462754</v>
      </c>
      <c r="BG123" s="3">
        <f t="shared" si="64"/>
        <v>2.3689328542125167E-2</v>
      </c>
      <c r="BH123" s="3">
        <f t="shared" si="65"/>
        <v>2.1625843892339371E-2</v>
      </c>
      <c r="BI123" s="3">
        <f t="shared" si="66"/>
        <v>2.6932523381010463E-2</v>
      </c>
      <c r="BJ123" s="3">
        <f t="shared" si="67"/>
        <v>3.1289556214684981E-2</v>
      </c>
    </row>
    <row r="124" spans="1:62" ht="13.5" x14ac:dyDescent="0.2">
      <c r="A124" s="28">
        <v>44334</v>
      </c>
      <c r="B124" s="29">
        <v>241.61457799999999</v>
      </c>
      <c r="C124" s="29">
        <v>124.481544</v>
      </c>
      <c r="D124" s="29">
        <v>3232.280029</v>
      </c>
      <c r="E124" s="29">
        <v>2262.469971</v>
      </c>
      <c r="F124" s="29">
        <v>577.86999500000002</v>
      </c>
      <c r="G124" s="29">
        <v>2303.429932</v>
      </c>
      <c r="H124" s="29">
        <v>309.959991</v>
      </c>
      <c r="I124" s="29">
        <v>140.08354199999999</v>
      </c>
      <c r="J124" s="29">
        <v>287.58999599999999</v>
      </c>
      <c r="K124" s="29">
        <v>160.45294200000001</v>
      </c>
      <c r="L124" s="26">
        <v>4127.83</v>
      </c>
      <c r="N124" s="3">
        <f t="shared" si="49"/>
        <v>2.4709180047000679E-3</v>
      </c>
      <c r="O124" s="3">
        <f t="shared" si="50"/>
        <v>-1.2823210299197851E-3</v>
      </c>
      <c r="P124" s="3">
        <f t="shared" si="51"/>
        <v>-1.4850682389155385E-4</v>
      </c>
      <c r="Q124" s="3">
        <f t="shared" si="52"/>
        <v>3.9832821996448921E-3</v>
      </c>
      <c r="R124" s="3">
        <f t="shared" si="53"/>
        <v>-2.5252536139217876E-2</v>
      </c>
      <c r="S124" s="3">
        <f t="shared" si="54"/>
        <v>2.2896232244260803E-3</v>
      </c>
      <c r="T124" s="3">
        <f t="shared" si="55"/>
        <v>1.1643159597472153E-2</v>
      </c>
      <c r="U124" s="3">
        <f t="shared" si="56"/>
        <v>3.5609877053116791E-3</v>
      </c>
      <c r="V124" s="3">
        <f t="shared" si="57"/>
        <v>-4.7750914425442985E-3</v>
      </c>
      <c r="W124" s="3">
        <f t="shared" si="58"/>
        <v>-7.6671331938208886E-3</v>
      </c>
      <c r="X124" s="3">
        <f t="shared" si="59"/>
        <v>-2.9477755951036366E-3</v>
      </c>
      <c r="AK124" s="3"/>
      <c r="AL124" s="8"/>
      <c r="AW124" s="3"/>
      <c r="AY124" s="5"/>
      <c r="AZ124" s="28">
        <v>44330</v>
      </c>
      <c r="BA124" s="3">
        <f t="shared" si="68"/>
        <v>119</v>
      </c>
      <c r="BB124" s="3">
        <f t="shared" si="60"/>
        <v>1.214899270148539</v>
      </c>
      <c r="BC124" s="3">
        <f t="shared" si="61"/>
        <v>1.2278586827397666</v>
      </c>
      <c r="BD124" s="3">
        <f t="shared" si="62"/>
        <v>1.9913571487889095</v>
      </c>
      <c r="BE124" s="3">
        <f t="shared" si="63"/>
        <v>1.2339504473628382</v>
      </c>
      <c r="BG124" s="3">
        <f t="shared" si="64"/>
        <v>-2.8437511324740528E-3</v>
      </c>
      <c r="BH124" s="3">
        <f t="shared" si="65"/>
        <v>-1.8890596992118063E-3</v>
      </c>
      <c r="BI124" s="3">
        <f t="shared" si="66"/>
        <v>-7.7258933872460583E-3</v>
      </c>
      <c r="BJ124" s="3">
        <f t="shared" si="67"/>
        <v>-1.4857094587935014E-2</v>
      </c>
    </row>
    <row r="125" spans="1:62" ht="13.5" x14ac:dyDescent="0.2">
      <c r="A125" s="28">
        <v>44335</v>
      </c>
      <c r="B125" s="29">
        <v>242.21232599999999</v>
      </c>
      <c r="C125" s="29">
        <v>124.32202100000001</v>
      </c>
      <c r="D125" s="29">
        <v>3231.8000489999999</v>
      </c>
      <c r="E125" s="29">
        <v>2271.5</v>
      </c>
      <c r="F125" s="29">
        <v>563.46002199999998</v>
      </c>
      <c r="G125" s="29">
        <v>2308.709961</v>
      </c>
      <c r="H125" s="29">
        <v>313.58999599999999</v>
      </c>
      <c r="I125" s="29">
        <v>140.58326700000001</v>
      </c>
      <c r="J125" s="29">
        <v>286.22000100000002</v>
      </c>
      <c r="K125" s="29">
        <v>159.22743199999999</v>
      </c>
      <c r="L125" s="26">
        <v>4115.68</v>
      </c>
      <c r="N125" s="3">
        <f t="shared" si="49"/>
        <v>1.3725715287835524E-2</v>
      </c>
      <c r="O125" s="3">
        <f t="shared" si="50"/>
        <v>2.0794329282273916E-2</v>
      </c>
      <c r="P125" s="3">
        <f t="shared" si="51"/>
        <v>4.9016016224529687E-3</v>
      </c>
      <c r="Q125" s="3">
        <f t="shared" si="52"/>
        <v>1.5485878330646142E-2</v>
      </c>
      <c r="R125" s="3">
        <f t="shared" si="53"/>
        <v>4.055362685828276E-2</v>
      </c>
      <c r="S125" s="3">
        <f t="shared" si="54"/>
        <v>2.0314592653152663E-2</v>
      </c>
      <c r="T125" s="3">
        <f t="shared" si="55"/>
        <v>1.5881349766180251E-2</v>
      </c>
      <c r="U125" s="3">
        <f t="shared" si="56"/>
        <v>3.8134565931332319E-2</v>
      </c>
      <c r="V125" s="3">
        <f t="shared" si="57"/>
        <v>1.7802953975828179E-3</v>
      </c>
      <c r="W125" s="3">
        <f t="shared" si="58"/>
        <v>-1.7394851676869551E-3</v>
      </c>
      <c r="X125" s="3">
        <f t="shared" si="59"/>
        <v>1.0499443868610717E-2</v>
      </c>
      <c r="AK125" s="3"/>
      <c r="AL125" s="8"/>
      <c r="AW125" s="3"/>
      <c r="AY125" s="5"/>
      <c r="AZ125" s="28">
        <v>44333</v>
      </c>
      <c r="BA125" s="3">
        <f t="shared" si="68"/>
        <v>120</v>
      </c>
      <c r="BB125" s="3">
        <f t="shared" si="60"/>
        <v>1.2114493067168848</v>
      </c>
      <c r="BC125" s="3">
        <f t="shared" si="61"/>
        <v>1.2255413738424186</v>
      </c>
      <c r="BD125" s="3">
        <f t="shared" si="62"/>
        <v>1.9760314144880322</v>
      </c>
      <c r="BE125" s="3">
        <f t="shared" si="63"/>
        <v>1.2157530438519366</v>
      </c>
      <c r="BG125" s="3">
        <f t="shared" si="64"/>
        <v>-9.738764347554078E-3</v>
      </c>
      <c r="BH125" s="3">
        <f t="shared" si="65"/>
        <v>-9.9730345670163371E-3</v>
      </c>
      <c r="BI125" s="3">
        <f t="shared" si="66"/>
        <v>-7.3440102145057142E-3</v>
      </c>
      <c r="BJ125" s="3">
        <f t="shared" si="67"/>
        <v>-3.6389563707925811E-3</v>
      </c>
    </row>
    <row r="126" spans="1:62" ht="13.5" x14ac:dyDescent="0.2">
      <c r="A126" s="28">
        <v>44336</v>
      </c>
      <c r="B126" s="29">
        <v>245.55978400000001</v>
      </c>
      <c r="C126" s="29">
        <v>126.93428</v>
      </c>
      <c r="D126" s="29">
        <v>3247.679932</v>
      </c>
      <c r="E126" s="29">
        <v>2306.9499510000001</v>
      </c>
      <c r="F126" s="29">
        <v>586.78002900000001</v>
      </c>
      <c r="G126" s="29">
        <v>2356.0900879999999</v>
      </c>
      <c r="H126" s="29">
        <v>318.60998499999999</v>
      </c>
      <c r="I126" s="29">
        <v>146.04788199999999</v>
      </c>
      <c r="J126" s="29">
        <v>286.73001099999999</v>
      </c>
      <c r="K126" s="29">
        <v>158.95069899999999</v>
      </c>
      <c r="L126" s="26">
        <v>4159.12</v>
      </c>
      <c r="N126" s="3">
        <f t="shared" si="49"/>
        <v>-5.3290305364460337E-3</v>
      </c>
      <c r="O126" s="3">
        <f t="shared" si="50"/>
        <v>-1.4877153440561088E-2</v>
      </c>
      <c r="P126" s="3">
        <f t="shared" si="51"/>
        <v>-1.3828003089167889E-2</v>
      </c>
      <c r="Q126" s="3">
        <f t="shared" si="52"/>
        <v>-5.5726488733757375E-3</v>
      </c>
      <c r="R126" s="3">
        <f t="shared" si="53"/>
        <v>-1.0105808267713404E-2</v>
      </c>
      <c r="S126" s="3">
        <f t="shared" si="54"/>
        <v>-4.6754160477809111E-3</v>
      </c>
      <c r="T126" s="3">
        <f t="shared" si="55"/>
        <v>-7.4979055033813132E-3</v>
      </c>
      <c r="U126" s="3">
        <f t="shared" si="56"/>
        <v>2.5622713025549644E-2</v>
      </c>
      <c r="V126" s="3">
        <f t="shared" si="57"/>
        <v>3.5162150811606742E-3</v>
      </c>
      <c r="W126" s="3">
        <f t="shared" si="58"/>
        <v>1.1314180061910971E-2</v>
      </c>
      <c r="X126" s="3">
        <f t="shared" si="59"/>
        <v>-7.8412700139645676E-4</v>
      </c>
      <c r="AK126" s="3"/>
      <c r="AL126" s="8"/>
      <c r="AW126" s="3"/>
      <c r="AY126" s="5"/>
      <c r="AZ126" s="28">
        <v>44334</v>
      </c>
      <c r="BA126" s="3">
        <f t="shared" si="68"/>
        <v>121</v>
      </c>
      <c r="BB126" s="3">
        <f t="shared" si="60"/>
        <v>1.1997085504235812</v>
      </c>
      <c r="BC126" s="3">
        <f t="shared" si="61"/>
        <v>1.2133797522946665</v>
      </c>
      <c r="BD126" s="3">
        <f t="shared" si="62"/>
        <v>1.9615725775048651</v>
      </c>
      <c r="BE126" s="3">
        <f t="shared" si="63"/>
        <v>1.211337011315659</v>
      </c>
      <c r="BG126" s="3">
        <f t="shared" si="64"/>
        <v>-1.6330762199063989E-3</v>
      </c>
      <c r="BH126" s="3">
        <f t="shared" si="65"/>
        <v>-9.0005001830716059E-4</v>
      </c>
      <c r="BI126" s="3">
        <f t="shared" si="66"/>
        <v>-5.3901496810217463E-3</v>
      </c>
      <c r="BJ126" s="3">
        <f t="shared" si="67"/>
        <v>-1.1996535343864047E-2</v>
      </c>
    </row>
    <row r="127" spans="1:62" ht="13.5" x14ac:dyDescent="0.2">
      <c r="A127" s="28">
        <v>44337</v>
      </c>
      <c r="B127" s="29">
        <v>244.25466900000001</v>
      </c>
      <c r="C127" s="29">
        <v>125.059837</v>
      </c>
      <c r="D127" s="29">
        <v>3203.080078</v>
      </c>
      <c r="E127" s="29">
        <v>2294.1298830000001</v>
      </c>
      <c r="F127" s="29">
        <v>580.88000499999998</v>
      </c>
      <c r="G127" s="29">
        <v>2345.1000979999999</v>
      </c>
      <c r="H127" s="29">
        <v>316.23001099999999</v>
      </c>
      <c r="I127" s="29">
        <v>149.838379</v>
      </c>
      <c r="J127" s="29">
        <v>287.73998999999998</v>
      </c>
      <c r="K127" s="29">
        <v>160.759308</v>
      </c>
      <c r="L127" s="26">
        <v>4155.8599999999997</v>
      </c>
      <c r="N127" s="3">
        <f t="shared" si="49"/>
        <v>2.2624256030428423E-2</v>
      </c>
      <c r="O127" s="3">
        <f t="shared" si="50"/>
        <v>1.3226268592792205E-2</v>
      </c>
      <c r="P127" s="3">
        <f t="shared" si="51"/>
        <v>1.2999394154408071E-2</v>
      </c>
      <c r="Q127" s="3">
        <f t="shared" si="52"/>
        <v>2.8748580777155298E-2</v>
      </c>
      <c r="R127" s="3">
        <f t="shared" si="53"/>
        <v>4.3061594831695471E-2</v>
      </c>
      <c r="S127" s="3">
        <f t="shared" si="54"/>
        <v>2.5915930165770075E-2</v>
      </c>
      <c r="T127" s="3">
        <f t="shared" si="55"/>
        <v>2.6216255933801502E-2</v>
      </c>
      <c r="U127" s="3">
        <f t="shared" si="56"/>
        <v>4.053975115989638E-2</v>
      </c>
      <c r="V127" s="3">
        <f t="shared" si="57"/>
        <v>6.8922329270467604E-3</v>
      </c>
      <c r="W127" s="3">
        <f t="shared" si="58"/>
        <v>5.3954936501964925E-3</v>
      </c>
      <c r="X127" s="3">
        <f t="shared" si="59"/>
        <v>9.8625111190549994E-3</v>
      </c>
      <c r="AK127" s="3"/>
      <c r="AL127" s="8"/>
      <c r="AW127" s="3"/>
      <c r="AY127" s="5"/>
      <c r="AZ127" s="28">
        <v>44335</v>
      </c>
      <c r="BA127" s="3">
        <f t="shared" si="68"/>
        <v>122</v>
      </c>
      <c r="BB127" s="3">
        <f t="shared" si="60"/>
        <v>1.1977509338226955</v>
      </c>
      <c r="BC127" s="3">
        <f t="shared" si="61"/>
        <v>1.2122881411524065</v>
      </c>
      <c r="BD127" s="3">
        <f t="shared" si="62"/>
        <v>1.9510278520564561</v>
      </c>
      <c r="BE127" s="3">
        <f t="shared" si="63"/>
        <v>1.1968919824356823</v>
      </c>
      <c r="BG127" s="3">
        <f t="shared" si="64"/>
        <v>1.6477548986257837E-2</v>
      </c>
      <c r="BH127" s="3">
        <f t="shared" si="65"/>
        <v>1.3137917695934852E-2</v>
      </c>
      <c r="BI127" s="3">
        <f t="shared" si="66"/>
        <v>2.5748603077630564E-2</v>
      </c>
      <c r="BJ127" s="3">
        <f t="shared" si="67"/>
        <v>3.8525139723038462E-2</v>
      </c>
    </row>
    <row r="128" spans="1:62" ht="13.5" x14ac:dyDescent="0.2">
      <c r="A128" s="28">
        <v>44340</v>
      </c>
      <c r="B128" s="29">
        <v>249.84373500000001</v>
      </c>
      <c r="C128" s="29">
        <v>126.72489899999999</v>
      </c>
      <c r="D128" s="29">
        <v>3244.98999</v>
      </c>
      <c r="E128" s="29">
        <v>2361.040039</v>
      </c>
      <c r="F128" s="29">
        <v>606.44000200000005</v>
      </c>
      <c r="G128" s="29">
        <v>2406.669922</v>
      </c>
      <c r="H128" s="29">
        <v>324.63000499999998</v>
      </c>
      <c r="I128" s="29">
        <v>156.037598</v>
      </c>
      <c r="J128" s="29">
        <v>289.73001099999999</v>
      </c>
      <c r="K128" s="29">
        <v>161.62902800000001</v>
      </c>
      <c r="L128" s="26">
        <v>4197.05</v>
      </c>
      <c r="N128" s="3">
        <f t="shared" si="49"/>
        <v>3.7413074945858715E-3</v>
      </c>
      <c r="O128" s="3">
        <f t="shared" si="50"/>
        <v>-1.5747421868325677E-3</v>
      </c>
      <c r="P128" s="3">
        <f t="shared" si="51"/>
        <v>4.3234914967461265E-3</v>
      </c>
      <c r="Q128" s="3">
        <f t="shared" si="52"/>
        <v>7.7481494402715601E-4</v>
      </c>
      <c r="R128" s="3">
        <f t="shared" si="53"/>
        <v>-2.8898651872565758E-3</v>
      </c>
      <c r="S128" s="3">
        <f t="shared" si="54"/>
        <v>9.967922702284744E-4</v>
      </c>
      <c r="T128" s="3">
        <f t="shared" si="55"/>
        <v>9.6870992408399879E-3</v>
      </c>
      <c r="U128" s="3">
        <f t="shared" si="56"/>
        <v>2.2873109756693312E-3</v>
      </c>
      <c r="V128" s="3">
        <f t="shared" si="57"/>
        <v>-8.770613825537928E-3</v>
      </c>
      <c r="W128" s="3">
        <f t="shared" si="58"/>
        <v>-1.0387564116092124E-2</v>
      </c>
      <c r="X128" s="3">
        <f t="shared" si="59"/>
        <v>-2.1275639556263349E-3</v>
      </c>
      <c r="AK128" s="3"/>
      <c r="AL128" s="8"/>
      <c r="AW128" s="3"/>
      <c r="AY128" s="5"/>
      <c r="AZ128" s="28">
        <v>44336</v>
      </c>
      <c r="BA128" s="3">
        <f t="shared" si="68"/>
        <v>123</v>
      </c>
      <c r="BB128" s="3">
        <f t="shared" si="60"/>
        <v>1.2176504307356537</v>
      </c>
      <c r="BC128" s="3">
        <f t="shared" si="61"/>
        <v>1.2283201660868517</v>
      </c>
      <c r="BD128" s="3">
        <f t="shared" si="62"/>
        <v>2.0019164372802787</v>
      </c>
      <c r="BE128" s="3">
        <f t="shared" si="63"/>
        <v>1.2439021354742137</v>
      </c>
      <c r="BG128" s="3">
        <f t="shared" si="64"/>
        <v>-1.7801610482959228E-3</v>
      </c>
      <c r="BH128" s="3">
        <f t="shared" si="65"/>
        <v>-1.8431133122955355E-3</v>
      </c>
      <c r="BI128" s="3">
        <f t="shared" si="66"/>
        <v>-4.0401987168173104E-3</v>
      </c>
      <c r="BJ128" s="3">
        <f t="shared" si="67"/>
        <v>-7.5496208079525859E-3</v>
      </c>
    </row>
    <row r="129" spans="1:62" ht="13.5" x14ac:dyDescent="0.2">
      <c r="A129" s="28">
        <v>44341</v>
      </c>
      <c r="B129" s="29">
        <v>250.78022799999999</v>
      </c>
      <c r="C129" s="29">
        <v>126.525497</v>
      </c>
      <c r="D129" s="29">
        <v>3259.0500489999999</v>
      </c>
      <c r="E129" s="29">
        <v>2362.8701169999999</v>
      </c>
      <c r="F129" s="29">
        <v>604.69000200000005</v>
      </c>
      <c r="G129" s="29">
        <v>2409.070068</v>
      </c>
      <c r="H129" s="29">
        <v>327.790009</v>
      </c>
      <c r="I129" s="29">
        <v>156.394913</v>
      </c>
      <c r="J129" s="29">
        <v>287.20001200000002</v>
      </c>
      <c r="K129" s="29">
        <v>159.958786</v>
      </c>
      <c r="L129" s="26">
        <v>4188.13</v>
      </c>
      <c r="N129" s="3">
        <f t="shared" si="49"/>
        <v>-9.141340648698991E-4</v>
      </c>
      <c r="O129" s="3">
        <f t="shared" si="50"/>
        <v>-3.9413262275166073E-4</v>
      </c>
      <c r="P129" s="3">
        <f t="shared" si="51"/>
        <v>1.8729822684039697E-3</v>
      </c>
      <c r="Q129" s="3">
        <f t="shared" si="52"/>
        <v>7.3537246930685963E-3</v>
      </c>
      <c r="R129" s="3">
        <f t="shared" si="53"/>
        <v>2.3599341541167836E-2</v>
      </c>
      <c r="S129" s="3">
        <f t="shared" si="54"/>
        <v>1.0102080917456071E-2</v>
      </c>
      <c r="T129" s="3">
        <f t="shared" si="55"/>
        <v>-3.9668929476333308E-4</v>
      </c>
      <c r="U129" s="3">
        <f t="shared" si="56"/>
        <v>3.3336251848483829E-3</v>
      </c>
      <c r="V129" s="3">
        <f t="shared" si="57"/>
        <v>4.5245679927438209E-4</v>
      </c>
      <c r="W129" s="3">
        <f t="shared" si="58"/>
        <v>-1.2363323668147341E-4</v>
      </c>
      <c r="X129" s="3">
        <f t="shared" si="59"/>
        <v>1.8749737128450623E-3</v>
      </c>
      <c r="AK129" s="3"/>
      <c r="AL129" s="8"/>
      <c r="AW129" s="3"/>
      <c r="AY129" s="5"/>
      <c r="AZ129" s="28">
        <v>44337</v>
      </c>
      <c r="BA129" s="3">
        <f t="shared" si="68"/>
        <v>124</v>
      </c>
      <c r="BB129" s="3">
        <f t="shared" si="60"/>
        <v>1.215484745074962</v>
      </c>
      <c r="BC129" s="3">
        <f t="shared" si="61"/>
        <v>1.2260583178985331</v>
      </c>
      <c r="BD129" s="3">
        <f t="shared" si="62"/>
        <v>1.9938446139242192</v>
      </c>
      <c r="BE129" s="3">
        <f t="shared" si="63"/>
        <v>1.2345465061926109</v>
      </c>
      <c r="BG129" s="3">
        <f t="shared" si="64"/>
        <v>2.2435540299857986E-2</v>
      </c>
      <c r="BH129" s="3">
        <f t="shared" si="65"/>
        <v>1.9371223694879071E-2</v>
      </c>
      <c r="BI129" s="3">
        <f t="shared" si="66"/>
        <v>2.9577057381130676E-2</v>
      </c>
      <c r="BJ129" s="3">
        <f t="shared" si="67"/>
        <v>3.9168096521242625E-2</v>
      </c>
    </row>
    <row r="130" spans="1:62" ht="13.5" x14ac:dyDescent="0.2">
      <c r="A130" s="28">
        <v>44342</v>
      </c>
      <c r="B130" s="29">
        <v>250.551086</v>
      </c>
      <c r="C130" s="29">
        <v>126.475639</v>
      </c>
      <c r="D130" s="29">
        <v>3265.1599120000001</v>
      </c>
      <c r="E130" s="29">
        <v>2380.3100589999999</v>
      </c>
      <c r="F130" s="29">
        <v>619.13000499999998</v>
      </c>
      <c r="G130" s="29">
        <v>2433.530029</v>
      </c>
      <c r="H130" s="29">
        <v>327.66000400000001</v>
      </c>
      <c r="I130" s="29">
        <v>156.917145</v>
      </c>
      <c r="J130" s="29">
        <v>287.32998700000002</v>
      </c>
      <c r="K130" s="29">
        <v>159.93901099999999</v>
      </c>
      <c r="L130" s="26">
        <v>4195.99</v>
      </c>
      <c r="N130" s="3">
        <f t="shared" si="49"/>
        <v>-8.7061165123161737E-3</v>
      </c>
      <c r="O130" s="3">
        <f t="shared" si="50"/>
        <v>-1.245406500958118E-2</v>
      </c>
      <c r="P130" s="3">
        <f t="shared" si="51"/>
        <v>-1.0792513662640231E-2</v>
      </c>
      <c r="Q130" s="3">
        <f t="shared" si="52"/>
        <v>-7.4342169101144582E-3</v>
      </c>
      <c r="R130" s="3">
        <f t="shared" si="53"/>
        <v>1.8752803464612732E-2</v>
      </c>
      <c r="S130" s="3">
        <f t="shared" si="54"/>
        <v>-1.2828861708106825E-2</v>
      </c>
      <c r="T130" s="3">
        <f t="shared" si="55"/>
        <v>1.5414959675327404E-2</v>
      </c>
      <c r="U130" s="3">
        <f t="shared" si="56"/>
        <v>-1.3595180569183749E-2</v>
      </c>
      <c r="V130" s="3">
        <f t="shared" si="57"/>
        <v>6.832834746582802E-3</v>
      </c>
      <c r="W130" s="3">
        <f t="shared" si="58"/>
        <v>1.545190033522127E-2</v>
      </c>
      <c r="X130" s="3">
        <f t="shared" si="59"/>
        <v>1.1647198427041133E-3</v>
      </c>
      <c r="AK130" s="3"/>
      <c r="AL130" s="8"/>
      <c r="AW130" s="3"/>
      <c r="AY130" s="5"/>
      <c r="AZ130" s="28">
        <v>44340</v>
      </c>
      <c r="BA130" s="3">
        <f t="shared" si="68"/>
        <v>125</v>
      </c>
      <c r="BB130" s="3">
        <f t="shared" si="60"/>
        <v>1.2430630119239474</v>
      </c>
      <c r="BC130" s="3">
        <f t="shared" si="61"/>
        <v>1.2500400961186409</v>
      </c>
      <c r="BD130" s="3">
        <f t="shared" si="62"/>
        <v>2.0536974425332319</v>
      </c>
      <c r="BE130" s="3">
        <f t="shared" si="63"/>
        <v>1.2838608122311475</v>
      </c>
      <c r="BG130" s="3">
        <f t="shared" si="64"/>
        <v>-4.3988261607551526E-4</v>
      </c>
      <c r="BH130" s="3">
        <f t="shared" si="65"/>
        <v>-1.1071318242252498E-3</v>
      </c>
      <c r="BI130" s="3">
        <f t="shared" si="66"/>
        <v>5.754276893732231E-4</v>
      </c>
      <c r="BJ130" s="3">
        <f t="shared" si="67"/>
        <v>1.5443546804436293E-3</v>
      </c>
    </row>
    <row r="131" spans="1:62" ht="13.5" x14ac:dyDescent="0.2">
      <c r="A131" s="28">
        <v>44343</v>
      </c>
      <c r="B131" s="29">
        <v>248.37922699999999</v>
      </c>
      <c r="C131" s="29">
        <v>124.91027099999999</v>
      </c>
      <c r="D131" s="29">
        <v>3230.110107</v>
      </c>
      <c r="E131" s="29">
        <v>2362.679932</v>
      </c>
      <c r="F131" s="29">
        <v>630.84997599999997</v>
      </c>
      <c r="G131" s="29">
        <v>2402.51001</v>
      </c>
      <c r="H131" s="29">
        <v>332.75</v>
      </c>
      <c r="I131" s="29">
        <v>154.79826399999999</v>
      </c>
      <c r="J131" s="29">
        <v>289.29998799999998</v>
      </c>
      <c r="K131" s="29">
        <v>162.429565</v>
      </c>
      <c r="L131" s="26">
        <v>4200.88</v>
      </c>
      <c r="N131" s="3">
        <f t="shared" si="49"/>
        <v>1.4828847927302556E-3</v>
      </c>
      <c r="O131" s="3">
        <f t="shared" si="50"/>
        <v>-5.3623104588884944E-3</v>
      </c>
      <c r="P131" s="3">
        <f t="shared" si="51"/>
        <v>-2.1818829172574094E-3</v>
      </c>
      <c r="Q131" s="3">
        <f t="shared" si="52"/>
        <v>-2.470515889555294E-3</v>
      </c>
      <c r="R131" s="3">
        <f t="shared" si="53"/>
        <v>-8.9645369145787638E-3</v>
      </c>
      <c r="S131" s="3">
        <f t="shared" si="54"/>
        <v>3.7598371155897008E-3</v>
      </c>
      <c r="T131" s="3">
        <f t="shared" si="55"/>
        <v>-1.2154678673651732E-2</v>
      </c>
      <c r="U131" s="3">
        <f t="shared" si="56"/>
        <v>4.7688836838443403E-2</v>
      </c>
      <c r="V131" s="3">
        <f t="shared" si="57"/>
        <v>4.8385805422463801E-4</v>
      </c>
      <c r="W131" s="3">
        <f t="shared" si="58"/>
        <v>-6.6945564976752961E-4</v>
      </c>
      <c r="X131" s="3">
        <f t="shared" si="59"/>
        <v>7.6859107720652112E-4</v>
      </c>
      <c r="AK131" s="3"/>
      <c r="AL131" s="8"/>
      <c r="AW131" s="3"/>
      <c r="AY131" s="5"/>
      <c r="AZ131" s="28">
        <v>44341</v>
      </c>
      <c r="BA131" s="3">
        <f t="shared" si="68"/>
        <v>126</v>
      </c>
      <c r="BB131" s="3">
        <f t="shared" si="60"/>
        <v>1.2425163303609887</v>
      </c>
      <c r="BC131" s="3">
        <f t="shared" si="61"/>
        <v>1.2486569027766408</v>
      </c>
      <c r="BD131" s="3">
        <f t="shared" si="62"/>
        <v>2.0548795369795809</v>
      </c>
      <c r="BE131" s="3">
        <f t="shared" si="63"/>
        <v>1.2858450804981689</v>
      </c>
      <c r="BG131" s="3">
        <f t="shared" si="64"/>
        <v>4.6515183432950741E-3</v>
      </c>
      <c r="BH131" s="3">
        <f t="shared" si="65"/>
        <v>3.307119125570713E-3</v>
      </c>
      <c r="BI131" s="3">
        <f t="shared" si="66"/>
        <v>8.4389945444077064E-3</v>
      </c>
      <c r="BJ131" s="3">
        <f t="shared" si="67"/>
        <v>1.4138762005950847E-2</v>
      </c>
    </row>
    <row r="132" spans="1:62" ht="13.5" x14ac:dyDescent="0.2">
      <c r="A132" s="28">
        <v>44344</v>
      </c>
      <c r="B132" s="29">
        <v>248.747818</v>
      </c>
      <c r="C132" s="29">
        <v>124.242256</v>
      </c>
      <c r="D132" s="29">
        <v>3223.070068</v>
      </c>
      <c r="E132" s="29">
        <v>2356.8500979999999</v>
      </c>
      <c r="F132" s="29">
        <v>625.21997099999999</v>
      </c>
      <c r="G132" s="29">
        <v>2411.5600589999999</v>
      </c>
      <c r="H132" s="29">
        <v>328.73001099999999</v>
      </c>
      <c r="I132" s="29">
        <v>162.35926799999999</v>
      </c>
      <c r="J132" s="29">
        <v>289.44000199999999</v>
      </c>
      <c r="K132" s="29">
        <v>162.32086200000001</v>
      </c>
      <c r="L132" s="26">
        <v>4204.1099999999997</v>
      </c>
      <c r="N132" s="3">
        <f t="shared" ref="N132:N195" si="69">LN(B133/B132)</f>
        <v>-9.1735625230841191E-3</v>
      </c>
      <c r="O132" s="3">
        <f t="shared" ref="O132:O195" si="70">LN(C133/C132)</f>
        <v>-2.6518309742336686E-3</v>
      </c>
      <c r="P132" s="3">
        <f t="shared" ref="P132:P195" si="71">LN(D133/D132)</f>
        <v>-1.3723560522084179E-3</v>
      </c>
      <c r="Q132" s="3">
        <f t="shared" ref="Q132:Q195" si="72">LN(E133/E132)</f>
        <v>1.0270111288891213E-2</v>
      </c>
      <c r="R132" s="3">
        <f t="shared" ref="R132:R195" si="73">LN(F133/F132)</f>
        <v>-2.1134038308186069E-3</v>
      </c>
      <c r="S132" s="3">
        <f t="shared" ref="S132:S195" si="74">LN(G133/G132)</f>
        <v>7.5392238143797124E-3</v>
      </c>
      <c r="T132" s="3">
        <f t="shared" ref="T132:T195" si="75">LN(H133/H132)</f>
        <v>1.2160460875053534E-3</v>
      </c>
      <c r="U132" s="3">
        <f t="shared" ref="U132:U195" si="76">LN(I133/I132)</f>
        <v>1.2304997155171652E-3</v>
      </c>
      <c r="V132" s="3">
        <f t="shared" ref="V132:V195" si="77">LN(J133/J132)</f>
        <v>1.381004229224147E-3</v>
      </c>
      <c r="W132" s="3">
        <f t="shared" ref="W132:W195" si="78">LN(K133/K132)</f>
        <v>1.09601676747911E-2</v>
      </c>
      <c r="X132" s="3">
        <f t="shared" ref="X132:X195" si="79">LN(L133/L132)</f>
        <v>-4.9249657496948439E-4</v>
      </c>
      <c r="AK132" s="3"/>
      <c r="AL132" s="8"/>
      <c r="AW132" s="3"/>
      <c r="AY132" s="5"/>
      <c r="AZ132" s="28">
        <v>44342</v>
      </c>
      <c r="BA132" s="3">
        <f t="shared" si="68"/>
        <v>127</v>
      </c>
      <c r="BB132" s="3">
        <f t="shared" si="60"/>
        <v>1.2483093806582006</v>
      </c>
      <c r="BC132" s="3">
        <f t="shared" si="61"/>
        <v>1.2527931957379717</v>
      </c>
      <c r="BD132" s="3">
        <f t="shared" si="62"/>
        <v>2.0722940312425977</v>
      </c>
      <c r="BE132" s="3">
        <f t="shared" si="63"/>
        <v>1.3041544691019396</v>
      </c>
      <c r="BG132" s="3">
        <f t="shared" si="64"/>
        <v>-4.4355691247134946E-4</v>
      </c>
      <c r="BH132" s="3">
        <f t="shared" si="65"/>
        <v>-8.6829575235412078E-4</v>
      </c>
      <c r="BI132" s="3">
        <f t="shared" si="66"/>
        <v>-2.8402018067264015E-3</v>
      </c>
      <c r="BJ132" s="3">
        <f t="shared" si="67"/>
        <v>-4.1587238795128415E-3</v>
      </c>
    </row>
    <row r="133" spans="1:62" ht="13.5" x14ac:dyDescent="0.2">
      <c r="A133" s="28">
        <v>44348</v>
      </c>
      <c r="B133" s="29">
        <v>246.476349</v>
      </c>
      <c r="C133" s="29">
        <v>123.913223</v>
      </c>
      <c r="D133" s="29">
        <v>3218.6499020000001</v>
      </c>
      <c r="E133" s="29">
        <v>2381.179932</v>
      </c>
      <c r="F133" s="29">
        <v>623.90002400000003</v>
      </c>
      <c r="G133" s="29">
        <v>2429.8100589999999</v>
      </c>
      <c r="H133" s="29">
        <v>329.13000499999998</v>
      </c>
      <c r="I133" s="29">
        <v>162.55917400000001</v>
      </c>
      <c r="J133" s="29">
        <v>289.83999599999999</v>
      </c>
      <c r="K133" s="29">
        <v>164.109711</v>
      </c>
      <c r="L133" s="26">
        <v>4202.04</v>
      </c>
      <c r="N133" s="3">
        <f t="shared" si="69"/>
        <v>-4.0427870622973024E-4</v>
      </c>
      <c r="O133" s="3">
        <f t="shared" si="70"/>
        <v>6.2565131353674638E-3</v>
      </c>
      <c r="P133" s="3">
        <f t="shared" si="71"/>
        <v>4.7546793734528983E-3</v>
      </c>
      <c r="Q133" s="3">
        <f t="shared" si="72"/>
        <v>-4.4572281434866337E-3</v>
      </c>
      <c r="R133" s="3">
        <f t="shared" si="73"/>
        <v>-3.0563360377174317E-2</v>
      </c>
      <c r="S133" s="3">
        <f t="shared" si="74"/>
        <v>-3.5167513431214993E-3</v>
      </c>
      <c r="T133" s="3">
        <f t="shared" si="75"/>
        <v>6.0730996039752809E-5</v>
      </c>
      <c r="U133" s="3">
        <f t="shared" si="76"/>
        <v>3.1098443079512435E-2</v>
      </c>
      <c r="V133" s="3">
        <f t="shared" si="77"/>
        <v>6.2081540522572931E-4</v>
      </c>
      <c r="W133" s="3">
        <f t="shared" si="78"/>
        <v>6.0153070938167062E-5</v>
      </c>
      <c r="X133" s="3">
        <f t="shared" si="79"/>
        <v>1.4458704850342234E-3</v>
      </c>
      <c r="AK133" s="3"/>
      <c r="AL133" s="8"/>
      <c r="AW133" s="3"/>
      <c r="AY133" s="5"/>
      <c r="AZ133" s="28">
        <v>44343</v>
      </c>
      <c r="BA133" s="3">
        <f t="shared" si="68"/>
        <v>128</v>
      </c>
      <c r="BB133" s="3">
        <f t="shared" ref="BB133:BB196" si="80">SUMPRODUCT(B131:K131*EWS)</f>
        <v>1.2477558071832535</v>
      </c>
      <c r="BC133" s="3">
        <f t="shared" ref="BC133:BC196" si="81">SUMPRODUCT(B131:K131*RE)</f>
        <v>1.2517058728547692</v>
      </c>
      <c r="BD133" s="3">
        <f t="shared" ref="BD133:BD196" si="82">SUMPRODUCT(B131:K131*EWP)</f>
        <v>2.0664166484185977</v>
      </c>
      <c r="BE133" s="3">
        <f t="shared" ref="BE133:BE196" si="83">SUMPRODUCT(B131:K131*DRP)</f>
        <v>1.2987421128169245</v>
      </c>
      <c r="BG133" s="3">
        <f t="shared" si="64"/>
        <v>2.1362153004344632E-3</v>
      </c>
      <c r="BH133" s="3">
        <f t="shared" si="65"/>
        <v>1.0658629310541291E-3</v>
      </c>
      <c r="BI133" s="3">
        <f t="shared" si="66"/>
        <v>4.4923036116258138E-3</v>
      </c>
      <c r="BJ133" s="3">
        <f t="shared" si="67"/>
        <v>6.3784422206742113E-3</v>
      </c>
    </row>
    <row r="134" spans="1:62" ht="13.5" x14ac:dyDescent="0.2">
      <c r="A134" s="28">
        <v>44349</v>
      </c>
      <c r="B134" s="29">
        <v>246.376724</v>
      </c>
      <c r="C134" s="29">
        <v>124.690918</v>
      </c>
      <c r="D134" s="29">
        <v>3233.98999</v>
      </c>
      <c r="E134" s="29">
        <v>2370.5900879999999</v>
      </c>
      <c r="F134" s="29">
        <v>605.11999500000002</v>
      </c>
      <c r="G134" s="29">
        <v>2421.280029</v>
      </c>
      <c r="H134" s="29">
        <v>329.14999399999999</v>
      </c>
      <c r="I134" s="29">
        <v>167.693939</v>
      </c>
      <c r="J134" s="29">
        <v>290.01998900000001</v>
      </c>
      <c r="K134" s="29">
        <v>164.11958300000001</v>
      </c>
      <c r="L134" s="26">
        <v>4208.12</v>
      </c>
      <c r="N134" s="3">
        <f t="shared" si="69"/>
        <v>-6.4501187663941334E-3</v>
      </c>
      <c r="O134" s="3">
        <f t="shared" si="70"/>
        <v>-1.2228541625266671E-2</v>
      </c>
      <c r="P134" s="3">
        <f t="shared" si="71"/>
        <v>-1.4633489596918134E-2</v>
      </c>
      <c r="Q134" s="3">
        <f t="shared" si="72"/>
        <v>-9.7538628820198186E-3</v>
      </c>
      <c r="R134" s="3">
        <f t="shared" si="73"/>
        <v>-5.4820284463188103E-2</v>
      </c>
      <c r="S134" s="3">
        <f t="shared" si="74"/>
        <v>-6.9085651899982821E-3</v>
      </c>
      <c r="T134" s="3">
        <f t="shared" si="75"/>
        <v>-9.4934548548832043E-3</v>
      </c>
      <c r="U134" s="3">
        <f t="shared" si="76"/>
        <v>1.1348923604509372E-2</v>
      </c>
      <c r="V134" s="3">
        <f t="shared" si="77"/>
        <v>6.7012124978469024E-3</v>
      </c>
      <c r="W134" s="3">
        <f t="shared" si="78"/>
        <v>6.6212705428191445E-4</v>
      </c>
      <c r="X134" s="3">
        <f t="shared" si="79"/>
        <v>-3.6352984992414229E-3</v>
      </c>
      <c r="AK134" s="3"/>
      <c r="AL134" s="8"/>
      <c r="AW134" s="3"/>
      <c r="AY134" s="5"/>
      <c r="AZ134" s="28">
        <v>44344</v>
      </c>
      <c r="BA134" s="3">
        <f t="shared" si="68"/>
        <v>129</v>
      </c>
      <c r="BB134" s="3">
        <f t="shared" si="80"/>
        <v>1.2504241312724147</v>
      </c>
      <c r="BC134" s="3">
        <f t="shared" si="81"/>
        <v>1.2530407310067653</v>
      </c>
      <c r="BD134" s="3">
        <f t="shared" si="82"/>
        <v>2.0757205016114741</v>
      </c>
      <c r="BE134" s="3">
        <f t="shared" si="83"/>
        <v>1.3070525399572928</v>
      </c>
      <c r="BG134" s="3">
        <f t="shared" ref="BG134:BG197" si="84">LN(BB135/BB134)</f>
        <v>2.1917914250172005E-3</v>
      </c>
      <c r="BH134" s="3">
        <f t="shared" ref="BH134:BH197" si="85">LN(BC135/BC134)</f>
        <v>2.3512550750061922E-3</v>
      </c>
      <c r="BI134" s="3">
        <f t="shared" ref="BI134:BI197" si="86">LN(BD135/BD134)</f>
        <v>-4.2573984749273458E-4</v>
      </c>
      <c r="BJ134" s="3">
        <f t="shared" ref="BJ134:BJ197" si="87">LN(BE135/BE134)</f>
        <v>-4.0191485239978366E-3</v>
      </c>
    </row>
    <row r="135" spans="1:62" ht="13.5" x14ac:dyDescent="0.2">
      <c r="A135" s="28">
        <v>44350</v>
      </c>
      <c r="B135" s="29">
        <v>244.79267899999999</v>
      </c>
      <c r="C135" s="29">
        <v>123.175415</v>
      </c>
      <c r="D135" s="29">
        <v>3187.01001</v>
      </c>
      <c r="E135" s="29">
        <v>2347.580078</v>
      </c>
      <c r="F135" s="29">
        <v>572.84002699999996</v>
      </c>
      <c r="G135" s="29">
        <v>2404.610107</v>
      </c>
      <c r="H135" s="29">
        <v>326.040009</v>
      </c>
      <c r="I135" s="29">
        <v>169.60792499999999</v>
      </c>
      <c r="J135" s="29">
        <v>291.97000100000002</v>
      </c>
      <c r="K135" s="29">
        <v>164.22828699999999</v>
      </c>
      <c r="L135" s="26">
        <v>4192.8500000000004</v>
      </c>
      <c r="N135" s="3">
        <f t="shared" si="69"/>
        <v>2.0463834380850837E-2</v>
      </c>
      <c r="O135" s="3">
        <f t="shared" si="70"/>
        <v>1.8843505179054396E-2</v>
      </c>
      <c r="P135" s="3">
        <f t="shared" si="71"/>
        <v>6.0094878079915105E-3</v>
      </c>
      <c r="Q135" s="3">
        <f t="shared" si="72"/>
        <v>1.9400960153906167E-2</v>
      </c>
      <c r="R135" s="3">
        <f t="shared" si="73"/>
        <v>4.4738554310110201E-2</v>
      </c>
      <c r="S135" s="3">
        <f t="shared" si="74"/>
        <v>1.9418365336242797E-2</v>
      </c>
      <c r="T135" s="3">
        <f t="shared" si="75"/>
        <v>1.3132615808218054E-2</v>
      </c>
      <c r="U135" s="3">
        <f t="shared" si="76"/>
        <v>3.5230080333866237E-2</v>
      </c>
      <c r="V135" s="3">
        <f t="shared" si="77"/>
        <v>1.8819421093067604E-3</v>
      </c>
      <c r="W135" s="3">
        <f t="shared" si="78"/>
        <v>1.6235232611348147E-3</v>
      </c>
      <c r="X135" s="3">
        <f t="shared" si="79"/>
        <v>8.7952943520972007E-3</v>
      </c>
      <c r="AK135" s="3"/>
      <c r="AL135" s="8"/>
      <c r="AW135" s="3"/>
      <c r="AY135" s="5"/>
      <c r="AZ135" s="28">
        <v>44348</v>
      </c>
      <c r="BA135" s="3">
        <f t="shared" si="68"/>
        <v>130</v>
      </c>
      <c r="BB135" s="3">
        <f t="shared" si="80"/>
        <v>1.2531678058437987</v>
      </c>
      <c r="BC135" s="3">
        <f t="shared" si="81"/>
        <v>1.2559904157564334</v>
      </c>
      <c r="BD135" s="3">
        <f t="shared" si="82"/>
        <v>2.0748369727717426</v>
      </c>
      <c r="BE135" s="3">
        <f t="shared" si="83"/>
        <v>1.3018098443141095</v>
      </c>
      <c r="BG135" s="3">
        <f t="shared" si="84"/>
        <v>1.6141223379081716E-4</v>
      </c>
      <c r="BH135" s="3">
        <f t="shared" si="85"/>
        <v>6.1328848593769593E-4</v>
      </c>
      <c r="BI135" s="3">
        <f t="shared" si="86"/>
        <v>-2.3114725361092336E-3</v>
      </c>
      <c r="BJ135" s="3">
        <f t="shared" si="87"/>
        <v>-7.2362561029691297E-3</v>
      </c>
    </row>
    <row r="136" spans="1:62" ht="13.5" x14ac:dyDescent="0.2">
      <c r="A136" s="28">
        <v>44351</v>
      </c>
      <c r="B136" s="29">
        <v>249.85368299999999</v>
      </c>
      <c r="C136" s="29">
        <v>125.518478</v>
      </c>
      <c r="D136" s="29">
        <v>3206.219971</v>
      </c>
      <c r="E136" s="29">
        <v>2393.570068</v>
      </c>
      <c r="F136" s="29">
        <v>599.04998799999998</v>
      </c>
      <c r="G136" s="29">
        <v>2451.76001</v>
      </c>
      <c r="H136" s="29">
        <v>330.35000600000001</v>
      </c>
      <c r="I136" s="29">
        <v>175.689728</v>
      </c>
      <c r="J136" s="29">
        <v>292.51998900000001</v>
      </c>
      <c r="K136" s="29">
        <v>164.49513200000001</v>
      </c>
      <c r="L136" s="26">
        <v>4229.8900000000003</v>
      </c>
      <c r="N136" s="3">
        <f t="shared" si="69"/>
        <v>1.1970032232728476E-2</v>
      </c>
      <c r="O136" s="3">
        <f t="shared" si="70"/>
        <v>7.9443314321229775E-5</v>
      </c>
      <c r="P136" s="3">
        <f t="shared" si="71"/>
        <v>-2.5639196349384074E-3</v>
      </c>
      <c r="Q136" s="3">
        <f t="shared" si="72"/>
        <v>3.6406284696677933E-3</v>
      </c>
      <c r="R136" s="3">
        <f t="shared" si="73"/>
        <v>1.0098272189847405E-2</v>
      </c>
      <c r="S136" s="3">
        <f t="shared" si="74"/>
        <v>5.8277980305997167E-3</v>
      </c>
      <c r="T136" s="3">
        <f t="shared" si="75"/>
        <v>1.8683107022673038E-2</v>
      </c>
      <c r="U136" s="3">
        <f t="shared" si="76"/>
        <v>2.3155345679368011E-3</v>
      </c>
      <c r="V136" s="3">
        <f t="shared" si="77"/>
        <v>-1.0515915681404234E-2</v>
      </c>
      <c r="W136" s="3">
        <f t="shared" si="78"/>
        <v>-4.6972202328739981E-3</v>
      </c>
      <c r="X136" s="3">
        <f t="shared" si="79"/>
        <v>-7.9702856848250638E-4</v>
      </c>
      <c r="AK136" s="3"/>
      <c r="AL136" s="8"/>
      <c r="AW136" s="3"/>
      <c r="AY136" s="5"/>
      <c r="AZ136" s="28">
        <v>44349</v>
      </c>
      <c r="BA136" s="3">
        <f t="shared" ref="BA136:BA199" si="88">BA135+1</f>
        <v>131</v>
      </c>
      <c r="BB136" s="3">
        <f t="shared" si="80"/>
        <v>1.2533700987844933</v>
      </c>
      <c r="BC136" s="3">
        <f t="shared" si="81"/>
        <v>1.2567609364684544</v>
      </c>
      <c r="BD136" s="3">
        <f t="shared" si="82"/>
        <v>2.0700465826527585</v>
      </c>
      <c r="BE136" s="3">
        <f t="shared" si="83"/>
        <v>1.29242361641561</v>
      </c>
      <c r="BG136" s="3">
        <f t="shared" si="84"/>
        <v>-8.9617779991706375E-3</v>
      </c>
      <c r="BH136" s="3">
        <f t="shared" si="85"/>
        <v>-6.1289978786799992E-3</v>
      </c>
      <c r="BI136" s="3">
        <f t="shared" si="86"/>
        <v>-1.8273199588658633E-2</v>
      </c>
      <c r="BJ136" s="3">
        <f t="shared" si="87"/>
        <v>-3.3069667521185279E-2</v>
      </c>
    </row>
    <row r="137" spans="1:62" ht="13.5" x14ac:dyDescent="0.2">
      <c r="A137" s="28">
        <v>44354</v>
      </c>
      <c r="B137" s="29">
        <v>252.86241100000001</v>
      </c>
      <c r="C137" s="29">
        <v>125.52845000000001</v>
      </c>
      <c r="D137" s="29">
        <v>3198.01001</v>
      </c>
      <c r="E137" s="29">
        <v>2402.3000489999999</v>
      </c>
      <c r="F137" s="29">
        <v>605.13000499999998</v>
      </c>
      <c r="G137" s="29">
        <v>2466.0900879999999</v>
      </c>
      <c r="H137" s="29">
        <v>336.57998700000002</v>
      </c>
      <c r="I137" s="29">
        <v>176.097015</v>
      </c>
      <c r="J137" s="29">
        <v>289.459991</v>
      </c>
      <c r="K137" s="29">
        <v>163.72427400000001</v>
      </c>
      <c r="L137" s="26">
        <v>4226.5200000000004</v>
      </c>
      <c r="N137" s="3">
        <f t="shared" si="69"/>
        <v>-4.8974400464682896E-3</v>
      </c>
      <c r="O137" s="3">
        <f t="shared" si="70"/>
        <v>6.6497709332693508E-3</v>
      </c>
      <c r="P137" s="3">
        <f t="shared" si="71"/>
        <v>2.0458425806980322E-2</v>
      </c>
      <c r="Q137" s="3">
        <f t="shared" si="72"/>
        <v>-1.6081307631411257E-3</v>
      </c>
      <c r="R137" s="3">
        <f t="shared" si="73"/>
        <v>-2.5481150183209291E-3</v>
      </c>
      <c r="S137" s="3">
        <f t="shared" si="74"/>
        <v>6.7731972680384108E-3</v>
      </c>
      <c r="T137" s="3">
        <f t="shared" si="75"/>
        <v>-8.6533947506154448E-3</v>
      </c>
      <c r="U137" s="3">
        <f t="shared" si="76"/>
        <v>-9.2371219893459117E-3</v>
      </c>
      <c r="V137" s="3">
        <f t="shared" si="77"/>
        <v>-9.3316866105033389E-4</v>
      </c>
      <c r="W137" s="3">
        <f t="shared" si="78"/>
        <v>-3.9920829341890413E-3</v>
      </c>
      <c r="X137" s="3">
        <f t="shared" si="79"/>
        <v>1.7506961427659565E-4</v>
      </c>
      <c r="AK137" s="3"/>
      <c r="AL137" s="8"/>
      <c r="AW137" s="3"/>
      <c r="AY137" s="5"/>
      <c r="AZ137" s="28">
        <v>44350</v>
      </c>
      <c r="BA137" s="3">
        <f t="shared" si="88"/>
        <v>132</v>
      </c>
      <c r="BB137" s="3">
        <f t="shared" si="80"/>
        <v>1.242187855439874</v>
      </c>
      <c r="BC137" s="3">
        <f t="shared" si="81"/>
        <v>1.2490818080742605</v>
      </c>
      <c r="BD137" s="3">
        <f t="shared" si="82"/>
        <v>2.0325637172163709</v>
      </c>
      <c r="BE137" s="3">
        <f t="shared" si="83"/>
        <v>1.2503825701169375</v>
      </c>
      <c r="BG137" s="3">
        <f t="shared" si="84"/>
        <v>1.7946608857609316E-2</v>
      </c>
      <c r="BH137" s="3">
        <f t="shared" si="85"/>
        <v>1.4654233051183588E-2</v>
      </c>
      <c r="BI137" s="3">
        <f t="shared" si="86"/>
        <v>2.7764789498269726E-2</v>
      </c>
      <c r="BJ137" s="3">
        <f t="shared" si="87"/>
        <v>4.1253539725198143E-2</v>
      </c>
    </row>
    <row r="138" spans="1:62" ht="13.5" x14ac:dyDescent="0.2">
      <c r="A138" s="28">
        <v>44355</v>
      </c>
      <c r="B138" s="29">
        <v>251.62706</v>
      </c>
      <c r="C138" s="29">
        <v>126.365967</v>
      </c>
      <c r="D138" s="29">
        <v>3264.110107</v>
      </c>
      <c r="E138" s="29">
        <v>2398.4399410000001</v>
      </c>
      <c r="F138" s="29">
        <v>603.59002699999996</v>
      </c>
      <c r="G138" s="29">
        <v>2482.8500979999999</v>
      </c>
      <c r="H138" s="29">
        <v>333.67999300000002</v>
      </c>
      <c r="I138" s="29">
        <v>174.47787500000001</v>
      </c>
      <c r="J138" s="29">
        <v>289.19000199999999</v>
      </c>
      <c r="K138" s="29">
        <v>163.07197600000001</v>
      </c>
      <c r="L138" s="26">
        <v>4227.26</v>
      </c>
      <c r="N138" s="3">
        <f t="shared" si="69"/>
        <v>4.0302805363724358E-3</v>
      </c>
      <c r="O138" s="3">
        <f t="shared" si="70"/>
        <v>3.0724880989933621E-3</v>
      </c>
      <c r="P138" s="3">
        <f t="shared" si="71"/>
        <v>5.2067705401898602E-3</v>
      </c>
      <c r="Q138" s="3">
        <f t="shared" si="72"/>
        <v>3.9530842773584955E-3</v>
      </c>
      <c r="R138" s="3">
        <f t="shared" si="73"/>
        <v>-8.0009039398313466E-3</v>
      </c>
      <c r="S138" s="3">
        <f t="shared" si="74"/>
        <v>3.4376287559433317E-3</v>
      </c>
      <c r="T138" s="3">
        <f t="shared" si="75"/>
        <v>-1.0332485508072305E-2</v>
      </c>
      <c r="U138" s="3">
        <f t="shared" si="76"/>
        <v>-5.4436731141346917E-3</v>
      </c>
      <c r="V138" s="3">
        <f t="shared" si="77"/>
        <v>-2.1116196350869209E-3</v>
      </c>
      <c r="W138" s="3">
        <f t="shared" si="78"/>
        <v>-1.2563476820274954E-2</v>
      </c>
      <c r="X138" s="3">
        <f t="shared" si="79"/>
        <v>-1.8255417468125729E-3</v>
      </c>
      <c r="AK138" s="3"/>
      <c r="AL138" s="8"/>
      <c r="AW138" s="3"/>
      <c r="AY138" s="5"/>
      <c r="AZ138" s="28">
        <v>44351</v>
      </c>
      <c r="BA138" s="3">
        <f t="shared" si="88"/>
        <v>133</v>
      </c>
      <c r="BB138" s="3">
        <f t="shared" si="80"/>
        <v>1.2646821595020676</v>
      </c>
      <c r="BC138" s="3">
        <f t="shared" si="81"/>
        <v>1.2675209195312709</v>
      </c>
      <c r="BD138" s="3">
        <f t="shared" si="82"/>
        <v>2.0897881571636971</v>
      </c>
      <c r="BE138" s="3">
        <f t="shared" si="83"/>
        <v>1.3030440449649263</v>
      </c>
      <c r="BG138" s="3">
        <f t="shared" si="84"/>
        <v>3.4231996227135622E-3</v>
      </c>
      <c r="BH138" s="3">
        <f t="shared" si="85"/>
        <v>2.0804611487033669E-3</v>
      </c>
      <c r="BI138" s="3">
        <f t="shared" si="86"/>
        <v>5.6449361149003181E-3</v>
      </c>
      <c r="BJ138" s="3">
        <f t="shared" si="87"/>
        <v>8.4383099655812224E-3</v>
      </c>
    </row>
    <row r="139" spans="1:62" ht="13.5" x14ac:dyDescent="0.2">
      <c r="A139" s="28">
        <v>44356</v>
      </c>
      <c r="B139" s="29">
        <v>252.64323400000001</v>
      </c>
      <c r="C139" s="29">
        <v>126.754822</v>
      </c>
      <c r="D139" s="29">
        <v>3281.1499020000001</v>
      </c>
      <c r="E139" s="29">
        <v>2407.9399410000001</v>
      </c>
      <c r="F139" s="29">
        <v>598.78002900000001</v>
      </c>
      <c r="G139" s="29">
        <v>2491.3999020000001</v>
      </c>
      <c r="H139" s="29">
        <v>330.25</v>
      </c>
      <c r="I139" s="29">
        <v>173.530655</v>
      </c>
      <c r="J139" s="29">
        <v>288.57998700000002</v>
      </c>
      <c r="K139" s="29">
        <v>161.03604100000001</v>
      </c>
      <c r="L139" s="26">
        <v>4219.55</v>
      </c>
      <c r="N139" s="3">
        <f t="shared" si="69"/>
        <v>1.42906925319886E-2</v>
      </c>
      <c r="O139" s="3">
        <f t="shared" si="70"/>
        <v>-8.0556522147381265E-3</v>
      </c>
      <c r="P139" s="3">
        <f t="shared" si="71"/>
        <v>2.0661892674745622E-2</v>
      </c>
      <c r="Q139" s="3">
        <f t="shared" si="72"/>
        <v>1.1228509462742686E-2</v>
      </c>
      <c r="R139" s="3">
        <f t="shared" si="73"/>
        <v>1.8761350650737287E-2</v>
      </c>
      <c r="S139" s="3">
        <f t="shared" si="74"/>
        <v>1.204889741109426E-2</v>
      </c>
      <c r="T139" s="3">
        <f t="shared" si="75"/>
        <v>6.6695816339524166E-3</v>
      </c>
      <c r="U139" s="3">
        <f t="shared" si="76"/>
        <v>3.8380380889208639E-3</v>
      </c>
      <c r="V139" s="3">
        <f t="shared" si="77"/>
        <v>-1.2798943858449752E-2</v>
      </c>
      <c r="W139" s="3">
        <f t="shared" si="78"/>
        <v>-1.5711402402023473E-2</v>
      </c>
      <c r="X139" s="3">
        <f t="shared" si="79"/>
        <v>4.641367023082649E-3</v>
      </c>
      <c r="AK139" s="3"/>
      <c r="AL139" s="8"/>
      <c r="AW139" s="3"/>
      <c r="AY139" s="5"/>
      <c r="AZ139" s="28">
        <v>44354</v>
      </c>
      <c r="BA139" s="3">
        <f t="shared" si="88"/>
        <v>134</v>
      </c>
      <c r="BB139" s="3">
        <f t="shared" si="80"/>
        <v>1.2690188374155542</v>
      </c>
      <c r="BC139" s="3">
        <f t="shared" si="81"/>
        <v>1.2701606925800109</v>
      </c>
      <c r="BD139" s="3">
        <f t="shared" si="82"/>
        <v>2.1016182364112828</v>
      </c>
      <c r="BE139" s="3">
        <f t="shared" si="83"/>
        <v>1.3140860569545212</v>
      </c>
      <c r="BG139" s="3">
        <f t="shared" si="84"/>
        <v>-2.6206952796639979E-4</v>
      </c>
      <c r="BH139" s="3">
        <f t="shared" si="85"/>
        <v>2.389353009953767E-4</v>
      </c>
      <c r="BI139" s="3">
        <f t="shared" si="86"/>
        <v>2.8651615249522218E-4</v>
      </c>
      <c r="BJ139" s="3">
        <f t="shared" si="87"/>
        <v>1.2344293640272922E-3</v>
      </c>
    </row>
    <row r="140" spans="1:62" ht="13.5" x14ac:dyDescent="0.2">
      <c r="A140" s="28">
        <v>44357</v>
      </c>
      <c r="B140" s="29">
        <v>256.27960200000001</v>
      </c>
      <c r="C140" s="29">
        <v>125.737831</v>
      </c>
      <c r="D140" s="29">
        <v>3349.6499020000001</v>
      </c>
      <c r="E140" s="29">
        <v>2435.1298830000001</v>
      </c>
      <c r="F140" s="29">
        <v>610.11999500000002</v>
      </c>
      <c r="G140" s="29">
        <v>2521.6000979999999</v>
      </c>
      <c r="H140" s="29">
        <v>332.459991</v>
      </c>
      <c r="I140" s="29">
        <v>174.19795199999999</v>
      </c>
      <c r="J140" s="29">
        <v>284.91000400000001</v>
      </c>
      <c r="K140" s="29">
        <v>158.525711</v>
      </c>
      <c r="L140" s="26">
        <v>4239.18</v>
      </c>
      <c r="N140" s="3">
        <f t="shared" si="69"/>
        <v>2.5236741216398653E-3</v>
      </c>
      <c r="O140" s="3">
        <f t="shared" si="70"/>
        <v>9.7846233938367333E-3</v>
      </c>
      <c r="P140" s="3">
        <f t="shared" si="71"/>
        <v>-8.4218101900990433E-4</v>
      </c>
      <c r="Q140" s="3">
        <f t="shared" si="72"/>
        <v>-2.0265568236668831E-3</v>
      </c>
      <c r="R140" s="3">
        <f t="shared" si="73"/>
        <v>-3.7701330454525852E-4</v>
      </c>
      <c r="S140" s="3">
        <f t="shared" si="74"/>
        <v>-3.0464208877049584E-3</v>
      </c>
      <c r="T140" s="3">
        <f t="shared" si="75"/>
        <v>-3.6159293246113087E-3</v>
      </c>
      <c r="U140" s="3">
        <f t="shared" si="76"/>
        <v>2.270999291426197E-2</v>
      </c>
      <c r="V140" s="3">
        <f t="shared" si="77"/>
        <v>6.6815107441242812E-3</v>
      </c>
      <c r="W140" s="3">
        <f t="shared" si="78"/>
        <v>-6.8595363192648889E-4</v>
      </c>
      <c r="X140" s="3">
        <f t="shared" si="79"/>
        <v>1.9465941937430961E-3</v>
      </c>
      <c r="AK140" s="3"/>
      <c r="AL140" s="8"/>
      <c r="AW140" s="3"/>
      <c r="AY140" s="5"/>
      <c r="AZ140" s="28">
        <v>44355</v>
      </c>
      <c r="BA140" s="3">
        <f t="shared" si="88"/>
        <v>135</v>
      </c>
      <c r="BB140" s="3">
        <f t="shared" si="80"/>
        <v>1.2686863098224301</v>
      </c>
      <c r="BC140" s="3">
        <f t="shared" si="81"/>
        <v>1.2704642150670793</v>
      </c>
      <c r="BD140" s="3">
        <f t="shared" si="82"/>
        <v>2.1022204702531351</v>
      </c>
      <c r="BE140" s="3">
        <f t="shared" si="83"/>
        <v>1.3157092049947714</v>
      </c>
      <c r="BG140" s="3">
        <f t="shared" si="84"/>
        <v>-2.0996717834431311E-3</v>
      </c>
      <c r="BH140" s="3">
        <f t="shared" si="85"/>
        <v>-1.4646682127350988E-3</v>
      </c>
      <c r="BI140" s="3">
        <f t="shared" si="86"/>
        <v>-1.0762213312591844E-3</v>
      </c>
      <c r="BJ140" s="3">
        <f t="shared" si="87"/>
        <v>-3.5118169958227335E-4</v>
      </c>
    </row>
    <row r="141" spans="1:62" ht="13.5" x14ac:dyDescent="0.2">
      <c r="A141" s="28">
        <v>44358</v>
      </c>
      <c r="B141" s="29">
        <v>256.92718500000001</v>
      </c>
      <c r="C141" s="29">
        <v>126.97416699999999</v>
      </c>
      <c r="D141" s="29">
        <v>3346.830078</v>
      </c>
      <c r="E141" s="29">
        <v>2430.1999510000001</v>
      </c>
      <c r="F141" s="29">
        <v>609.89001499999995</v>
      </c>
      <c r="G141" s="29">
        <v>2513.929932</v>
      </c>
      <c r="H141" s="29">
        <v>331.26001000000002</v>
      </c>
      <c r="I141" s="29">
        <v>178.19924900000001</v>
      </c>
      <c r="J141" s="29">
        <v>286.82000699999998</v>
      </c>
      <c r="K141" s="29">
        <v>158.41700700000001</v>
      </c>
      <c r="L141" s="26">
        <v>4247.4399999999996</v>
      </c>
      <c r="N141" s="3">
        <f t="shared" si="69"/>
        <v>7.7254077410955774E-3</v>
      </c>
      <c r="O141" s="3">
        <f t="shared" si="70"/>
        <v>2.4280719983310762E-2</v>
      </c>
      <c r="P141" s="3">
        <f t="shared" si="71"/>
        <v>1.1006407015135635E-2</v>
      </c>
      <c r="Q141" s="3">
        <f t="shared" si="72"/>
        <v>7.6694533372119672E-3</v>
      </c>
      <c r="R141" s="3">
        <f t="shared" si="73"/>
        <v>1.2708079088046663E-2</v>
      </c>
      <c r="S141" s="3">
        <f t="shared" si="74"/>
        <v>5.2014341022245123E-3</v>
      </c>
      <c r="T141" s="3">
        <f t="shared" si="75"/>
        <v>1.6496576391657317E-2</v>
      </c>
      <c r="U141" s="3">
        <f t="shared" si="76"/>
        <v>1.0796952357370222E-2</v>
      </c>
      <c r="V141" s="3">
        <f t="shared" si="77"/>
        <v>-1.1536931558505685E-2</v>
      </c>
      <c r="W141" s="3">
        <f t="shared" si="78"/>
        <v>-1.7114872422124502E-2</v>
      </c>
      <c r="X141" s="3">
        <f t="shared" si="79"/>
        <v>1.8135655401930488E-3</v>
      </c>
      <c r="AK141" s="3"/>
      <c r="AL141" s="8"/>
      <c r="AW141" s="3"/>
      <c r="AY141" s="5"/>
      <c r="AZ141" s="28">
        <v>44356</v>
      </c>
      <c r="BA141" s="3">
        <f t="shared" si="88"/>
        <v>136</v>
      </c>
      <c r="BB141" s="3">
        <f t="shared" si="80"/>
        <v>1.2660252795983165</v>
      </c>
      <c r="BC141" s="3">
        <f t="shared" si="81"/>
        <v>1.2686047685843467</v>
      </c>
      <c r="BD141" s="3">
        <f t="shared" si="82"/>
        <v>2.0999592327543115</v>
      </c>
      <c r="BE141" s="3">
        <f t="shared" si="83"/>
        <v>1.3152472331227867</v>
      </c>
      <c r="BG141" s="3">
        <f t="shared" si="84"/>
        <v>4.8566007837329119E-3</v>
      </c>
      <c r="BH141" s="3">
        <f t="shared" si="85"/>
        <v>3.0717460553914286E-3</v>
      </c>
      <c r="BI141" s="3">
        <f t="shared" si="86"/>
        <v>1.0485835282056375E-2</v>
      </c>
      <c r="BJ141" s="3">
        <f t="shared" si="87"/>
        <v>1.7977015195197597E-2</v>
      </c>
    </row>
    <row r="142" spans="1:62" ht="13.5" x14ac:dyDescent="0.2">
      <c r="A142" s="28">
        <v>44361</v>
      </c>
      <c r="B142" s="29">
        <v>258.91973899999999</v>
      </c>
      <c r="C142" s="29">
        <v>130.09492499999999</v>
      </c>
      <c r="D142" s="29">
        <v>3383.8701169999999</v>
      </c>
      <c r="E142" s="29">
        <v>2448.9099120000001</v>
      </c>
      <c r="F142" s="29">
        <v>617.69000200000005</v>
      </c>
      <c r="G142" s="29">
        <v>2527.040039</v>
      </c>
      <c r="H142" s="29">
        <v>336.76998900000001</v>
      </c>
      <c r="I142" s="29">
        <v>180.13368199999999</v>
      </c>
      <c r="J142" s="29">
        <v>283.52999899999998</v>
      </c>
      <c r="K142" s="29">
        <v>155.72879</v>
      </c>
      <c r="L142" s="26">
        <v>4255.1499999999996</v>
      </c>
      <c r="N142" s="3">
        <f t="shared" si="69"/>
        <v>-5.9046394977941155E-3</v>
      </c>
      <c r="O142" s="3">
        <f t="shared" si="70"/>
        <v>-6.4584873840284702E-3</v>
      </c>
      <c r="P142" s="3">
        <f t="shared" si="71"/>
        <v>-2.1877759803530533E-4</v>
      </c>
      <c r="Q142" s="3">
        <f t="shared" si="72"/>
        <v>-8.4145494008262545E-3</v>
      </c>
      <c r="R142" s="3">
        <f t="shared" si="73"/>
        <v>-3.0124322491096294E-2</v>
      </c>
      <c r="S142" s="3">
        <f t="shared" si="74"/>
        <v>-2.5279356774751006E-3</v>
      </c>
      <c r="T142" s="3">
        <f t="shared" si="75"/>
        <v>-5.9356812959763587E-5</v>
      </c>
      <c r="U142" s="3">
        <f t="shared" si="76"/>
        <v>-1.286073902103684E-2</v>
      </c>
      <c r="V142" s="3">
        <f t="shared" si="77"/>
        <v>1.4450211310586909E-3</v>
      </c>
      <c r="W142" s="3">
        <f t="shared" si="78"/>
        <v>-1.5284091497149585E-2</v>
      </c>
      <c r="X142" s="3">
        <f t="shared" si="79"/>
        <v>-2.0137061101785226E-3</v>
      </c>
      <c r="AK142" s="3"/>
      <c r="AL142" s="8"/>
      <c r="AW142" s="3"/>
      <c r="AY142" s="5"/>
      <c r="AZ142" s="28">
        <v>44357</v>
      </c>
      <c r="BA142" s="3">
        <f t="shared" si="88"/>
        <v>137</v>
      </c>
      <c r="BB142" s="3">
        <f t="shared" si="80"/>
        <v>1.2721888137611472</v>
      </c>
      <c r="BC142" s="3">
        <f t="shared" si="81"/>
        <v>1.2725075914496702</v>
      </c>
      <c r="BD142" s="3">
        <f t="shared" si="82"/>
        <v>2.1220949120888384</v>
      </c>
      <c r="BE142" s="3">
        <f t="shared" si="83"/>
        <v>1.3391052581380409</v>
      </c>
      <c r="BG142" s="3">
        <f t="shared" si="84"/>
        <v>3.0361442897562933E-3</v>
      </c>
      <c r="BH142" s="3">
        <f t="shared" si="85"/>
        <v>2.5904378014929949E-3</v>
      </c>
      <c r="BI142" s="3">
        <f t="shared" si="86"/>
        <v>5.0444971210017809E-3</v>
      </c>
      <c r="BJ142" s="3">
        <f t="shared" si="87"/>
        <v>7.3100973280688245E-3</v>
      </c>
    </row>
    <row r="143" spans="1:62" ht="13.5" x14ac:dyDescent="0.2">
      <c r="A143" s="28">
        <v>44362</v>
      </c>
      <c r="B143" s="29">
        <v>257.39541600000001</v>
      </c>
      <c r="C143" s="29">
        <v>129.25741600000001</v>
      </c>
      <c r="D143" s="29">
        <v>3383.1298830000001</v>
      </c>
      <c r="E143" s="29">
        <v>2428.389893</v>
      </c>
      <c r="F143" s="29">
        <v>599.35998500000005</v>
      </c>
      <c r="G143" s="29">
        <v>2520.6599120000001</v>
      </c>
      <c r="H143" s="29">
        <v>336.75</v>
      </c>
      <c r="I143" s="29">
        <v>177.831863</v>
      </c>
      <c r="J143" s="29">
        <v>283.94000199999999</v>
      </c>
      <c r="K143" s="29">
        <v>153.366714</v>
      </c>
      <c r="L143" s="26">
        <v>4246.59</v>
      </c>
      <c r="N143" s="3">
        <f t="shared" si="69"/>
        <v>-3.8002786935989034E-3</v>
      </c>
      <c r="O143" s="3">
        <f t="shared" si="70"/>
        <v>3.9261689722290593E-3</v>
      </c>
      <c r="P143" s="3">
        <f t="shared" si="71"/>
        <v>9.4494148772887396E-3</v>
      </c>
      <c r="Q143" s="3">
        <f t="shared" si="72"/>
        <v>-5.3428574019078728E-3</v>
      </c>
      <c r="R143" s="3">
        <f t="shared" si="73"/>
        <v>9.1511564133538136E-3</v>
      </c>
      <c r="S143" s="3">
        <f t="shared" si="74"/>
        <v>-2.6734984247493792E-3</v>
      </c>
      <c r="T143" s="3">
        <f t="shared" si="75"/>
        <v>-1.6980816538713358E-2</v>
      </c>
      <c r="U143" s="3">
        <f t="shared" si="76"/>
        <v>1.2218856079456331E-3</v>
      </c>
      <c r="V143" s="3">
        <f t="shared" si="77"/>
        <v>-2.9274935607590835E-3</v>
      </c>
      <c r="W143" s="3">
        <f t="shared" si="78"/>
        <v>6.999596842124662E-3</v>
      </c>
      <c r="X143" s="3">
        <f t="shared" si="79"/>
        <v>-5.404786783292966E-3</v>
      </c>
      <c r="AK143" s="3"/>
      <c r="AL143" s="8"/>
      <c r="AW143" s="3"/>
      <c r="AY143" s="5"/>
      <c r="AZ143" s="28">
        <v>44358</v>
      </c>
      <c r="BA143" s="3">
        <f t="shared" si="88"/>
        <v>138</v>
      </c>
      <c r="BB143" s="3">
        <f t="shared" si="80"/>
        <v>1.2760572321300656</v>
      </c>
      <c r="BC143" s="3">
        <f t="shared" si="81"/>
        <v>1.2758082164033719</v>
      </c>
      <c r="BD143" s="3">
        <f t="shared" si="82"/>
        <v>2.1328268596447013</v>
      </c>
      <c r="BE143" s="3">
        <f t="shared" si="83"/>
        <v>1.3489301144843284</v>
      </c>
      <c r="BG143" s="3">
        <f t="shared" si="84"/>
        <v>6.1854341781158746E-3</v>
      </c>
      <c r="BH143" s="3">
        <f t="shared" si="85"/>
        <v>4.094234146250866E-3</v>
      </c>
      <c r="BI143" s="3">
        <f t="shared" si="86"/>
        <v>1.2422640849139041E-2</v>
      </c>
      <c r="BJ143" s="3">
        <f t="shared" si="87"/>
        <v>2.0235254166911156E-2</v>
      </c>
    </row>
    <row r="144" spans="1:62" ht="13.5" x14ac:dyDescent="0.2">
      <c r="A144" s="28">
        <v>44363</v>
      </c>
      <c r="B144" s="29">
        <v>256.41909800000002</v>
      </c>
      <c r="C144" s="29">
        <v>129.76589999999999</v>
      </c>
      <c r="D144" s="29">
        <v>3415.25</v>
      </c>
      <c r="E144" s="29">
        <v>2415.4499510000001</v>
      </c>
      <c r="F144" s="29">
        <v>604.86999500000002</v>
      </c>
      <c r="G144" s="29">
        <v>2513.929932</v>
      </c>
      <c r="H144" s="29">
        <v>331.07998700000002</v>
      </c>
      <c r="I144" s="29">
        <v>178.049286</v>
      </c>
      <c r="J144" s="29">
        <v>283.10998499999999</v>
      </c>
      <c r="K144" s="29">
        <v>154.443985</v>
      </c>
      <c r="L144" s="26">
        <v>4223.7</v>
      </c>
      <c r="N144" s="3">
        <f t="shared" si="69"/>
        <v>1.3583629167260452E-2</v>
      </c>
      <c r="O144" s="3">
        <f t="shared" si="70"/>
        <v>1.2522130318854414E-2</v>
      </c>
      <c r="P144" s="3">
        <f t="shared" si="71"/>
        <v>2.1433247805693011E-2</v>
      </c>
      <c r="Q144" s="3">
        <f t="shared" si="72"/>
        <v>8.0078302069522458E-3</v>
      </c>
      <c r="R144" s="3">
        <f t="shared" si="73"/>
        <v>1.9206925886540119E-2</v>
      </c>
      <c r="S144" s="3">
        <f t="shared" si="74"/>
        <v>5.3517500622465974E-3</v>
      </c>
      <c r="T144" s="3">
        <f t="shared" si="75"/>
        <v>1.6267897290280369E-2</v>
      </c>
      <c r="U144" s="3">
        <f t="shared" si="76"/>
        <v>4.6460669222992246E-2</v>
      </c>
      <c r="V144" s="3">
        <f t="shared" si="77"/>
        <v>-1.5735401573302776E-2</v>
      </c>
      <c r="W144" s="3">
        <f t="shared" si="78"/>
        <v>-2.9284990477905722E-2</v>
      </c>
      <c r="X144" s="3">
        <f t="shared" si="79"/>
        <v>-4.3573191809956221E-4</v>
      </c>
      <c r="AK144" s="3"/>
      <c r="AL144" s="8"/>
      <c r="AW144" s="3"/>
      <c r="AY144" s="5"/>
      <c r="AZ144" s="28">
        <v>44361</v>
      </c>
      <c r="BA144" s="3">
        <f t="shared" si="88"/>
        <v>139</v>
      </c>
      <c r="BB144" s="3">
        <f t="shared" si="80"/>
        <v>1.2839746612722036</v>
      </c>
      <c r="BC144" s="3">
        <f t="shared" si="81"/>
        <v>1.2810423816044016</v>
      </c>
      <c r="BD144" s="3">
        <f t="shared" si="82"/>
        <v>2.1594874563655599</v>
      </c>
      <c r="BE144" s="3">
        <f t="shared" si="83"/>
        <v>1.3765041006368075</v>
      </c>
      <c r="BG144" s="3">
        <f t="shared" si="84"/>
        <v>-8.1842498790081798E-3</v>
      </c>
      <c r="BH144" s="3">
        <f t="shared" si="85"/>
        <v>-6.2998590194627098E-3</v>
      </c>
      <c r="BI144" s="3">
        <f t="shared" si="86"/>
        <v>-1.3194860525247128E-2</v>
      </c>
      <c r="BJ144" s="3">
        <f t="shared" si="87"/>
        <v>-2.0560890727646278E-2</v>
      </c>
    </row>
    <row r="145" spans="1:62" ht="13.5" x14ac:dyDescent="0.2">
      <c r="A145" s="28">
        <v>44364</v>
      </c>
      <c r="B145" s="29">
        <v>259.92596400000002</v>
      </c>
      <c r="C145" s="29">
        <v>131.401062</v>
      </c>
      <c r="D145" s="29">
        <v>3489.23999</v>
      </c>
      <c r="E145" s="29">
        <v>2434.8701169999999</v>
      </c>
      <c r="F145" s="29">
        <v>616.59997599999997</v>
      </c>
      <c r="G145" s="29">
        <v>2527.419922</v>
      </c>
      <c r="H145" s="29">
        <v>336.51001000000002</v>
      </c>
      <c r="I145" s="29">
        <v>186.51675399999999</v>
      </c>
      <c r="J145" s="29">
        <v>278.69000199999999</v>
      </c>
      <c r="K145" s="29">
        <v>149.98667900000001</v>
      </c>
      <c r="L145" s="26">
        <v>4221.8599999999997</v>
      </c>
      <c r="N145" s="3">
        <f t="shared" si="69"/>
        <v>-5.6503762427285347E-3</v>
      </c>
      <c r="O145" s="3">
        <f t="shared" si="70"/>
        <v>-1.0143004096880456E-2</v>
      </c>
      <c r="P145" s="3">
        <f t="shared" si="71"/>
        <v>-6.7088336071157242E-4</v>
      </c>
      <c r="Q145" s="3">
        <f t="shared" si="72"/>
        <v>-1.3500117337986615E-2</v>
      </c>
      <c r="R145" s="3">
        <f t="shared" si="73"/>
        <v>1.0823507587205754E-2</v>
      </c>
      <c r="S145" s="3">
        <f t="shared" si="74"/>
        <v>-6.3784925367901231E-3</v>
      </c>
      <c r="T145" s="3">
        <f t="shared" si="75"/>
        <v>-2.056606360511689E-2</v>
      </c>
      <c r="U145" s="3">
        <f t="shared" si="76"/>
        <v>-9.9201675454583301E-4</v>
      </c>
      <c r="V145" s="3">
        <f t="shared" si="77"/>
        <v>-1.6825946168488995E-2</v>
      </c>
      <c r="W145" s="3">
        <f t="shared" si="78"/>
        <v>-2.5628776420371955E-2</v>
      </c>
      <c r="X145" s="3">
        <f t="shared" si="79"/>
        <v>-1.3211434948255869E-2</v>
      </c>
      <c r="AK145" s="3"/>
      <c r="AL145" s="8"/>
      <c r="AW145" s="3"/>
      <c r="AY145" s="5"/>
      <c r="AZ145" s="28">
        <v>44362</v>
      </c>
      <c r="BA145" s="3">
        <f t="shared" si="88"/>
        <v>140</v>
      </c>
      <c r="BB145" s="3">
        <f t="shared" si="80"/>
        <v>1.2735091762945985</v>
      </c>
      <c r="BC145" s="3">
        <f t="shared" si="81"/>
        <v>1.272997363051374</v>
      </c>
      <c r="BD145" s="3">
        <f t="shared" si="82"/>
        <v>2.1311804845413906</v>
      </c>
      <c r="BE145" s="3">
        <f t="shared" si="83"/>
        <v>1.3484909250331278</v>
      </c>
      <c r="BG145" s="3">
        <f t="shared" si="84"/>
        <v>-2.6661377965068848E-4</v>
      </c>
      <c r="BH145" s="3">
        <f t="shared" si="85"/>
        <v>-7.6450252356397377E-4</v>
      </c>
      <c r="BI145" s="3">
        <f t="shared" si="86"/>
        <v>2.9362879914719797E-3</v>
      </c>
      <c r="BJ145" s="3">
        <f t="shared" si="87"/>
        <v>7.8277805824921998E-3</v>
      </c>
    </row>
    <row r="146" spans="1:62" ht="13.5" x14ac:dyDescent="0.2">
      <c r="A146" s="28">
        <v>44365</v>
      </c>
      <c r="B146" s="29">
        <v>258.46142600000002</v>
      </c>
      <c r="C146" s="29">
        <v>130.074997</v>
      </c>
      <c r="D146" s="29">
        <v>3486.8999020000001</v>
      </c>
      <c r="E146" s="29">
        <v>2402.219971</v>
      </c>
      <c r="F146" s="29">
        <v>623.30999799999995</v>
      </c>
      <c r="G146" s="29">
        <v>2511.3500979999999</v>
      </c>
      <c r="H146" s="29">
        <v>329.66000400000001</v>
      </c>
      <c r="I146" s="29">
        <v>186.331818</v>
      </c>
      <c r="J146" s="29">
        <v>274.040009</v>
      </c>
      <c r="K146" s="29">
        <v>146.19154399999999</v>
      </c>
      <c r="L146" s="26">
        <v>4166.45</v>
      </c>
      <c r="N146" s="3">
        <f t="shared" si="69"/>
        <v>1.2259265942403647E-2</v>
      </c>
      <c r="O146" s="3">
        <f t="shared" si="70"/>
        <v>1.4005359715855842E-2</v>
      </c>
      <c r="P146" s="3">
        <f t="shared" si="71"/>
        <v>-9.4916736403110064E-3</v>
      </c>
      <c r="Q146" s="3">
        <f t="shared" si="72"/>
        <v>1.4066674106765494E-2</v>
      </c>
      <c r="R146" s="3">
        <f t="shared" si="73"/>
        <v>-3.986664289756723E-3</v>
      </c>
      <c r="S146" s="3">
        <f t="shared" si="74"/>
        <v>7.0430507923453138E-3</v>
      </c>
      <c r="T146" s="3">
        <f t="shared" si="75"/>
        <v>7.946276266391647E-3</v>
      </c>
      <c r="U146" s="3">
        <f t="shared" si="76"/>
        <v>-1.1412101045039376E-2</v>
      </c>
      <c r="V146" s="3">
        <f t="shared" si="77"/>
        <v>1.1104359545146762E-2</v>
      </c>
      <c r="W146" s="3">
        <f t="shared" si="78"/>
        <v>1.6826249312862158E-2</v>
      </c>
      <c r="X146" s="3">
        <f t="shared" si="79"/>
        <v>1.3905201143734752E-2</v>
      </c>
      <c r="AK146" s="3"/>
      <c r="AL146" s="8"/>
      <c r="AW146" s="3"/>
      <c r="AY146" s="5"/>
      <c r="AZ146" s="28">
        <v>44363</v>
      </c>
      <c r="BA146" s="3">
        <f t="shared" si="88"/>
        <v>141</v>
      </c>
      <c r="BB146" s="3">
        <f t="shared" si="80"/>
        <v>1.273169686458032</v>
      </c>
      <c r="BC146" s="3">
        <f t="shared" si="81"/>
        <v>1.2720245252706825</v>
      </c>
      <c r="BD146" s="3">
        <f t="shared" si="82"/>
        <v>2.1374474404968704</v>
      </c>
      <c r="BE146" s="3">
        <f t="shared" si="83"/>
        <v>1.3590880379383834</v>
      </c>
      <c r="BG146" s="3">
        <f t="shared" si="84"/>
        <v>9.6255781179420893E-3</v>
      </c>
      <c r="BH146" s="3">
        <f t="shared" si="85"/>
        <v>5.4489024545637376E-3</v>
      </c>
      <c r="BI146" s="3">
        <f t="shared" si="86"/>
        <v>2.051344534525042E-2</v>
      </c>
      <c r="BJ146" s="3">
        <f t="shared" si="87"/>
        <v>3.3797881026561873E-2</v>
      </c>
    </row>
    <row r="147" spans="1:62" ht="13.5" x14ac:dyDescent="0.2">
      <c r="A147" s="28">
        <v>44368</v>
      </c>
      <c r="B147" s="29">
        <v>261.649475</v>
      </c>
      <c r="C147" s="29">
        <v>131.909561</v>
      </c>
      <c r="D147" s="29">
        <v>3453.959961</v>
      </c>
      <c r="E147" s="29">
        <v>2436.25</v>
      </c>
      <c r="F147" s="29">
        <v>620.830017</v>
      </c>
      <c r="G147" s="29">
        <v>2529.1000979999999</v>
      </c>
      <c r="H147" s="29">
        <v>332.290009</v>
      </c>
      <c r="I147" s="29">
        <v>184.217468</v>
      </c>
      <c r="J147" s="29">
        <v>277.10000600000001</v>
      </c>
      <c r="K147" s="29">
        <v>148.672211</v>
      </c>
      <c r="L147" s="26">
        <v>4224.79</v>
      </c>
      <c r="N147" s="3">
        <f t="shared" si="69"/>
        <v>1.0906365570314389E-2</v>
      </c>
      <c r="O147" s="3">
        <f t="shared" si="70"/>
        <v>1.2618403739362048E-2</v>
      </c>
      <c r="P147" s="3">
        <f t="shared" si="71"/>
        <v>1.4794643136659597E-2</v>
      </c>
      <c r="Q147" s="3">
        <f t="shared" si="72"/>
        <v>4.2434648215056306E-3</v>
      </c>
      <c r="R147" s="3">
        <f t="shared" si="73"/>
        <v>4.6282321993419417E-3</v>
      </c>
      <c r="S147" s="3">
        <f t="shared" si="74"/>
        <v>4.2965931020658233E-3</v>
      </c>
      <c r="T147" s="3">
        <f t="shared" si="75"/>
        <v>2.0080487387262612E-2</v>
      </c>
      <c r="U147" s="3">
        <f t="shared" si="76"/>
        <v>2.4629992696762464E-2</v>
      </c>
      <c r="V147" s="3">
        <f t="shared" si="77"/>
        <v>-6.497707669758352E-4</v>
      </c>
      <c r="W147" s="3">
        <f t="shared" si="78"/>
        <v>-1.4634013640985623E-3</v>
      </c>
      <c r="X147" s="3">
        <f t="shared" si="79"/>
        <v>5.1114294233350907E-3</v>
      </c>
      <c r="AK147" s="3"/>
      <c r="AL147" s="8"/>
      <c r="AW147" s="3"/>
      <c r="AY147" s="5"/>
      <c r="AZ147" s="28">
        <v>44364</v>
      </c>
      <c r="BA147" s="3">
        <f t="shared" si="88"/>
        <v>142</v>
      </c>
      <c r="BB147" s="3">
        <f t="shared" si="80"/>
        <v>1.2854838511321773</v>
      </c>
      <c r="BC147" s="3">
        <f t="shared" si="81"/>
        <v>1.2789745807198949</v>
      </c>
      <c r="BD147" s="3">
        <f t="shared" si="82"/>
        <v>2.1817466631668916</v>
      </c>
      <c r="BE147" s="3">
        <f t="shared" si="83"/>
        <v>1.4058073941749971</v>
      </c>
      <c r="BG147" s="3">
        <f t="shared" si="84"/>
        <v>-8.9644548374958107E-3</v>
      </c>
      <c r="BH147" s="3">
        <f t="shared" si="85"/>
        <v>-1.0820687832387391E-2</v>
      </c>
      <c r="BI147" s="3">
        <f t="shared" si="86"/>
        <v>-1.6027953801371596E-3</v>
      </c>
      <c r="BJ147" s="3">
        <f t="shared" si="87"/>
        <v>8.1321631773908411E-3</v>
      </c>
    </row>
    <row r="148" spans="1:62" ht="13.5" x14ac:dyDescent="0.2">
      <c r="A148" s="28">
        <v>44369</v>
      </c>
      <c r="B148" s="29">
        <v>264.51873799999998</v>
      </c>
      <c r="C148" s="29">
        <v>133.58459500000001</v>
      </c>
      <c r="D148" s="29">
        <v>3505.4399410000001</v>
      </c>
      <c r="E148" s="29">
        <v>2446.610107</v>
      </c>
      <c r="F148" s="29">
        <v>623.71002199999998</v>
      </c>
      <c r="G148" s="29">
        <v>2539.98999</v>
      </c>
      <c r="H148" s="29">
        <v>339.02999899999998</v>
      </c>
      <c r="I148" s="29">
        <v>188.811081</v>
      </c>
      <c r="J148" s="29">
        <v>276.92001299999998</v>
      </c>
      <c r="K148" s="29">
        <v>148.454803</v>
      </c>
      <c r="L148" s="26">
        <v>4246.4399999999996</v>
      </c>
      <c r="N148" s="3">
        <f t="shared" si="69"/>
        <v>-9.0433340724260813E-4</v>
      </c>
      <c r="O148" s="3">
        <f t="shared" si="70"/>
        <v>-2.0919485213152411E-3</v>
      </c>
      <c r="P148" s="3">
        <f t="shared" si="71"/>
        <v>-4.6220942774524514E-4</v>
      </c>
      <c r="Q148" s="3">
        <f t="shared" si="72"/>
        <v>-1.6649392301945009E-3</v>
      </c>
      <c r="R148" s="3">
        <f t="shared" si="73"/>
        <v>5.1343772741672823E-2</v>
      </c>
      <c r="S148" s="3">
        <f t="shared" si="74"/>
        <v>-4.2452393951996174E-3</v>
      </c>
      <c r="T148" s="3">
        <f t="shared" si="75"/>
        <v>4.5908000096482118E-3</v>
      </c>
      <c r="U148" s="3">
        <f t="shared" si="76"/>
        <v>8.9869482904338192E-3</v>
      </c>
      <c r="V148" s="3">
        <f t="shared" si="77"/>
        <v>-8.1947190891935549E-3</v>
      </c>
      <c r="W148" s="3">
        <f t="shared" si="78"/>
        <v>6.0398165119353491E-3</v>
      </c>
      <c r="X148" s="3">
        <f t="shared" si="79"/>
        <v>-1.0838474815418405E-3</v>
      </c>
      <c r="AK148" s="3"/>
      <c r="AL148" s="8"/>
      <c r="AW148" s="3"/>
      <c r="AY148" s="5"/>
      <c r="AZ148" s="28">
        <v>44365</v>
      </c>
      <c r="BA148" s="3">
        <f t="shared" si="88"/>
        <v>143</v>
      </c>
      <c r="BB148" s="3">
        <f t="shared" si="80"/>
        <v>1.2740116868800797</v>
      </c>
      <c r="BC148" s="3">
        <f t="shared" si="81"/>
        <v>1.2652098025267684</v>
      </c>
      <c r="BD148" s="3">
        <f t="shared" si="82"/>
        <v>2.1782525706002631</v>
      </c>
      <c r="BE148" s="3">
        <f t="shared" si="83"/>
        <v>1.4172862600455516</v>
      </c>
      <c r="BG148" s="3">
        <f t="shared" si="84"/>
        <v>5.8195086290649522E-3</v>
      </c>
      <c r="BH148" s="3">
        <f t="shared" si="85"/>
        <v>7.6771551114627233E-3</v>
      </c>
      <c r="BI148" s="3">
        <f t="shared" si="86"/>
        <v>1.6866613252158112E-3</v>
      </c>
      <c r="BJ148" s="3">
        <f t="shared" si="87"/>
        <v>-4.0127281496334698E-3</v>
      </c>
    </row>
    <row r="149" spans="1:62" ht="13.5" x14ac:dyDescent="0.2">
      <c r="A149" s="28">
        <v>44370</v>
      </c>
      <c r="B149" s="29">
        <v>264.27963299999999</v>
      </c>
      <c r="C149" s="29">
        <v>133.30543499999999</v>
      </c>
      <c r="D149" s="29">
        <v>3503.820068</v>
      </c>
      <c r="E149" s="29">
        <v>2442.540039</v>
      </c>
      <c r="F149" s="29">
        <v>656.57000700000003</v>
      </c>
      <c r="G149" s="29">
        <v>2529.2299800000001</v>
      </c>
      <c r="H149" s="29">
        <v>340.58999599999999</v>
      </c>
      <c r="I149" s="29">
        <v>190.51556400000001</v>
      </c>
      <c r="J149" s="29">
        <v>274.66000400000001</v>
      </c>
      <c r="K149" s="29">
        <v>149.35415599999999</v>
      </c>
      <c r="L149" s="26">
        <v>4241.84</v>
      </c>
      <c r="N149" s="3">
        <f t="shared" si="69"/>
        <v>5.3387767813826183E-3</v>
      </c>
      <c r="O149" s="3">
        <f t="shared" si="70"/>
        <v>-2.171464782989488E-3</v>
      </c>
      <c r="P149" s="3">
        <f t="shared" si="71"/>
        <v>-1.5746269869594282E-2</v>
      </c>
      <c r="Q149" s="3">
        <f t="shared" si="72"/>
        <v>3.0495271256909865E-3</v>
      </c>
      <c r="R149" s="3">
        <f t="shared" si="73"/>
        <v>3.4798742776470798E-2</v>
      </c>
      <c r="S149" s="3">
        <f t="shared" si="74"/>
        <v>6.4671491504869295E-3</v>
      </c>
      <c r="T149" s="3">
        <f t="shared" si="75"/>
        <v>7.5756743597899566E-3</v>
      </c>
      <c r="U149" s="3">
        <f t="shared" si="76"/>
        <v>7.7490841007896612E-3</v>
      </c>
      <c r="V149" s="3">
        <f t="shared" si="77"/>
        <v>3.0173103289855003E-3</v>
      </c>
      <c r="W149" s="3">
        <f t="shared" si="78"/>
        <v>9.155992326268023E-3</v>
      </c>
      <c r="X149" s="3">
        <f t="shared" si="79"/>
        <v>5.7943377765723673E-3</v>
      </c>
      <c r="AK149" s="3"/>
      <c r="AL149" s="8"/>
      <c r="AW149" s="3"/>
      <c r="AY149" s="5"/>
      <c r="AZ149" s="28">
        <v>44368</v>
      </c>
      <c r="BA149" s="3">
        <f t="shared" si="88"/>
        <v>144</v>
      </c>
      <c r="BB149" s="3">
        <f t="shared" si="80"/>
        <v>1.2814474240684741</v>
      </c>
      <c r="BC149" s="3">
        <f t="shared" si="81"/>
        <v>1.2749603949439523</v>
      </c>
      <c r="BD149" s="3">
        <f t="shared" si="82"/>
        <v>2.1819296450855887</v>
      </c>
      <c r="BE149" s="3">
        <f t="shared" si="83"/>
        <v>1.4116104708891926</v>
      </c>
      <c r="BG149" s="3">
        <f t="shared" si="84"/>
        <v>9.3375702458936404E-3</v>
      </c>
      <c r="BH149" s="3">
        <f t="shared" si="85"/>
        <v>8.0269308621582977E-3</v>
      </c>
      <c r="BI149" s="3">
        <f t="shared" si="86"/>
        <v>1.1442810738885522E-2</v>
      </c>
      <c r="BJ149" s="3">
        <f t="shared" si="87"/>
        <v>1.3695089665824169E-2</v>
      </c>
    </row>
    <row r="150" spans="1:62" ht="13.5" x14ac:dyDescent="0.2">
      <c r="A150" s="28">
        <v>44371</v>
      </c>
      <c r="B150" s="29">
        <v>265.69433600000002</v>
      </c>
      <c r="C150" s="29">
        <v>133.01628099999999</v>
      </c>
      <c r="D150" s="29">
        <v>3449.080078</v>
      </c>
      <c r="E150" s="29">
        <v>2450</v>
      </c>
      <c r="F150" s="29">
        <v>679.82000700000003</v>
      </c>
      <c r="G150" s="29">
        <v>2545.639893</v>
      </c>
      <c r="H150" s="29">
        <v>343.17999300000002</v>
      </c>
      <c r="I150" s="29">
        <v>191.99762000000001</v>
      </c>
      <c r="J150" s="29">
        <v>275.48998999999998</v>
      </c>
      <c r="K150" s="29">
        <v>150.72792100000001</v>
      </c>
      <c r="L150" s="26">
        <v>4266.49</v>
      </c>
      <c r="N150" s="3">
        <f t="shared" si="69"/>
        <v>-6.2816092793824586E-3</v>
      </c>
      <c r="O150" s="3">
        <f t="shared" si="70"/>
        <v>-2.2511514164518637E-3</v>
      </c>
      <c r="P150" s="3">
        <f t="shared" si="71"/>
        <v>-1.3902811679139737E-2</v>
      </c>
      <c r="Q150" s="3">
        <f t="shared" si="72"/>
        <v>6.935351335681402E-5</v>
      </c>
      <c r="R150" s="3">
        <f t="shared" si="73"/>
        <v>-1.1763205557900938E-2</v>
      </c>
      <c r="S150" s="3">
        <f t="shared" si="74"/>
        <v>-2.2573782405987484E-3</v>
      </c>
      <c r="T150" s="3">
        <f t="shared" si="75"/>
        <v>-5.2881520698529515E-3</v>
      </c>
      <c r="U150" s="3">
        <f t="shared" si="76"/>
        <v>-9.1274591443469867E-3</v>
      </c>
      <c r="V150" s="3">
        <f t="shared" si="77"/>
        <v>1.0435810765733137E-2</v>
      </c>
      <c r="W150" s="3">
        <f t="shared" si="78"/>
        <v>1.0047043558261042E-2</v>
      </c>
      <c r="X150" s="3">
        <f t="shared" si="79"/>
        <v>3.3250724723028176E-3</v>
      </c>
      <c r="AK150" s="3"/>
      <c r="AL150" s="8"/>
      <c r="AW150" s="3"/>
      <c r="AY150" s="5"/>
      <c r="AZ150" s="28">
        <v>44369</v>
      </c>
      <c r="BA150" s="3">
        <f t="shared" si="88"/>
        <v>145</v>
      </c>
      <c r="BB150" s="3">
        <f t="shared" si="80"/>
        <v>1.2934690685346131</v>
      </c>
      <c r="BC150" s="3">
        <f t="shared" si="81"/>
        <v>1.285235597887364</v>
      </c>
      <c r="BD150" s="3">
        <f t="shared" si="82"/>
        <v>2.2070404481475796</v>
      </c>
      <c r="BE150" s="3">
        <f t="shared" si="83"/>
        <v>1.4310755868842084</v>
      </c>
      <c r="BG150" s="3">
        <f t="shared" si="84"/>
        <v>5.5084270523476754E-3</v>
      </c>
      <c r="BH150" s="3">
        <f t="shared" si="85"/>
        <v>1.728260872489541E-3</v>
      </c>
      <c r="BI150" s="3">
        <f t="shared" si="86"/>
        <v>1.4439571438678475E-2</v>
      </c>
      <c r="BJ150" s="3">
        <f t="shared" si="87"/>
        <v>2.7600544739811519E-2</v>
      </c>
    </row>
    <row r="151" spans="1:62" ht="13.5" x14ac:dyDescent="0.2">
      <c r="A151" s="28">
        <v>44372</v>
      </c>
      <c r="B151" s="29">
        <v>264.03057899999999</v>
      </c>
      <c r="C151" s="29">
        <v>132.71717799999999</v>
      </c>
      <c r="D151" s="29">
        <v>3401.459961</v>
      </c>
      <c r="E151" s="29">
        <v>2450.169922</v>
      </c>
      <c r="F151" s="29">
        <v>671.86999500000002</v>
      </c>
      <c r="G151" s="29">
        <v>2539.8999020000001</v>
      </c>
      <c r="H151" s="29">
        <v>341.36999500000002</v>
      </c>
      <c r="I151" s="29">
        <v>190.25314299999999</v>
      </c>
      <c r="J151" s="29">
        <v>278.38000499999998</v>
      </c>
      <c r="K151" s="29">
        <v>152.24992399999999</v>
      </c>
      <c r="L151" s="26">
        <v>4280.7</v>
      </c>
      <c r="N151" s="3">
        <f t="shared" si="69"/>
        <v>1.3864652390583522E-2</v>
      </c>
      <c r="O151" s="3">
        <f t="shared" si="70"/>
        <v>1.2467953184732932E-2</v>
      </c>
      <c r="P151" s="3">
        <f t="shared" si="71"/>
        <v>1.2396875630466073E-2</v>
      </c>
      <c r="Q151" s="3">
        <f t="shared" si="72"/>
        <v>2.2446903085704216E-4</v>
      </c>
      <c r="R151" s="3">
        <f t="shared" si="73"/>
        <v>2.4769898256645148E-2</v>
      </c>
      <c r="S151" s="3">
        <f t="shared" si="74"/>
        <v>-1.3829035382661714E-3</v>
      </c>
      <c r="T151" s="3">
        <f t="shared" si="75"/>
        <v>4.0952107040257327E-2</v>
      </c>
      <c r="U151" s="3">
        <f t="shared" si="76"/>
        <v>4.8912869587582973E-2</v>
      </c>
      <c r="V151" s="3">
        <f t="shared" si="77"/>
        <v>-6.3785871211977565E-3</v>
      </c>
      <c r="W151" s="3">
        <f t="shared" si="78"/>
        <v>1.8158750173564327E-3</v>
      </c>
      <c r="X151" s="3">
        <f t="shared" si="79"/>
        <v>2.3123663514123699E-3</v>
      </c>
      <c r="AK151" s="3"/>
      <c r="AL151" s="8"/>
      <c r="AW151" s="3"/>
      <c r="AY151" s="5"/>
      <c r="AZ151" s="28">
        <v>44370</v>
      </c>
      <c r="BA151" s="3">
        <f t="shared" si="88"/>
        <v>146</v>
      </c>
      <c r="BB151" s="3">
        <f t="shared" si="80"/>
        <v>1.3006137083410283</v>
      </c>
      <c r="BC151" s="3">
        <f t="shared" si="81"/>
        <v>1.2874587408152354</v>
      </c>
      <c r="BD151" s="3">
        <f t="shared" si="82"/>
        <v>2.2391403631371358</v>
      </c>
      <c r="BE151" s="3">
        <f t="shared" si="83"/>
        <v>1.4711241919504818</v>
      </c>
      <c r="BG151" s="3">
        <f t="shared" si="84"/>
        <v>6.4935038237701999E-3</v>
      </c>
      <c r="BH151" s="3">
        <f t="shared" si="85"/>
        <v>4.5075975941472092E-3</v>
      </c>
      <c r="BI151" s="3">
        <f t="shared" si="86"/>
        <v>1.0632467654413561E-2</v>
      </c>
      <c r="BJ151" s="3">
        <f t="shared" si="87"/>
        <v>1.6650858778628572E-2</v>
      </c>
    </row>
    <row r="152" spans="1:62" ht="13.5" x14ac:dyDescent="0.2">
      <c r="A152" s="28">
        <v>44375</v>
      </c>
      <c r="B152" s="29">
        <v>267.71676600000001</v>
      </c>
      <c r="C152" s="29">
        <v>134.382248</v>
      </c>
      <c r="D152" s="29">
        <v>3443.889893</v>
      </c>
      <c r="E152" s="29">
        <v>2450.719971</v>
      </c>
      <c r="F152" s="29">
        <v>688.71997099999999</v>
      </c>
      <c r="G152" s="29">
        <v>2536.389893</v>
      </c>
      <c r="H152" s="29">
        <v>355.64001500000001</v>
      </c>
      <c r="I152" s="29">
        <v>199.790314</v>
      </c>
      <c r="J152" s="29">
        <v>276.60998499999999</v>
      </c>
      <c r="K152" s="29">
        <v>152.52664200000001</v>
      </c>
      <c r="L152" s="26">
        <v>4290.6099999999997</v>
      </c>
      <c r="N152" s="3">
        <f t="shared" si="69"/>
        <v>9.9236484636820946E-3</v>
      </c>
      <c r="O152" s="3">
        <f t="shared" si="70"/>
        <v>1.143459206325685E-2</v>
      </c>
      <c r="P152" s="3">
        <f t="shared" si="71"/>
        <v>1.2333088134177414E-3</v>
      </c>
      <c r="Q152" s="3">
        <f t="shared" si="72"/>
        <v>-2.1527120664257414E-3</v>
      </c>
      <c r="R152" s="3">
        <f t="shared" si="73"/>
        <v>-1.1624924426660329E-2</v>
      </c>
      <c r="S152" s="3">
        <f t="shared" si="74"/>
        <v>-6.3360054901019308E-3</v>
      </c>
      <c r="T152" s="3">
        <f t="shared" si="75"/>
        <v>-1.0600356043666598E-2</v>
      </c>
      <c r="U152" s="3">
        <f t="shared" si="76"/>
        <v>2.0868012643299183E-3</v>
      </c>
      <c r="V152" s="3">
        <f t="shared" si="77"/>
        <v>-1.4471042551567632E-3</v>
      </c>
      <c r="W152" s="3">
        <f t="shared" si="78"/>
        <v>-1.2318548225486497E-3</v>
      </c>
      <c r="X152" s="3">
        <f t="shared" si="79"/>
        <v>2.7731138634168957E-4</v>
      </c>
      <c r="AK152" s="3"/>
      <c r="AL152" s="8"/>
      <c r="AW152" s="3"/>
      <c r="AY152" s="5"/>
      <c r="AZ152" s="28">
        <v>44371</v>
      </c>
      <c r="BA152" s="3">
        <f t="shared" si="88"/>
        <v>147</v>
      </c>
      <c r="BB152" s="3">
        <f t="shared" si="80"/>
        <v>1.3090867284511594</v>
      </c>
      <c r="BC152" s="3">
        <f t="shared" si="81"/>
        <v>1.2932751859866094</v>
      </c>
      <c r="BD152" s="3">
        <f t="shared" si="82"/>
        <v>2.2630749670908323</v>
      </c>
      <c r="BE152" s="3">
        <f t="shared" si="83"/>
        <v>1.4958247451426308</v>
      </c>
      <c r="BG152" s="3">
        <f t="shared" si="84"/>
        <v>-2.9870342122129924E-3</v>
      </c>
      <c r="BH152" s="3">
        <f t="shared" si="85"/>
        <v>-1.2821139207877716E-3</v>
      </c>
      <c r="BI152" s="3">
        <f t="shared" si="86"/>
        <v>-7.6678366719133079E-3</v>
      </c>
      <c r="BJ152" s="3">
        <f t="shared" si="87"/>
        <v>-1.3555773969930497E-2</v>
      </c>
    </row>
    <row r="153" spans="1:62" ht="13.5" x14ac:dyDescent="0.2">
      <c r="A153" s="28">
        <v>44376</v>
      </c>
      <c r="B153" s="29">
        <v>270.38671900000003</v>
      </c>
      <c r="C153" s="29">
        <v>135.927673</v>
      </c>
      <c r="D153" s="29">
        <v>3448.139893</v>
      </c>
      <c r="E153" s="29">
        <v>2445.4499510000001</v>
      </c>
      <c r="F153" s="29">
        <v>680.76000999999997</v>
      </c>
      <c r="G153" s="29">
        <v>2520.3701169999999</v>
      </c>
      <c r="H153" s="29">
        <v>351.89001500000001</v>
      </c>
      <c r="I153" s="29">
        <v>200.207672</v>
      </c>
      <c r="J153" s="29">
        <v>276.209991</v>
      </c>
      <c r="K153" s="29">
        <v>152.33886699999999</v>
      </c>
      <c r="L153" s="26">
        <v>4291.8</v>
      </c>
      <c r="N153" s="3">
        <f t="shared" si="69"/>
        <v>-1.8439048147172229E-3</v>
      </c>
      <c r="O153" s="3">
        <f t="shared" si="70"/>
        <v>4.6105186974683635E-3</v>
      </c>
      <c r="P153" s="3">
        <f t="shared" si="71"/>
        <v>-2.3169678428180095E-3</v>
      </c>
      <c r="Q153" s="3">
        <f t="shared" si="72"/>
        <v>-1.4977421578060022E-3</v>
      </c>
      <c r="R153" s="3">
        <f t="shared" si="73"/>
        <v>-1.5582938085005147E-3</v>
      </c>
      <c r="S153" s="3">
        <f t="shared" si="74"/>
        <v>-5.5901935754409339E-3</v>
      </c>
      <c r="T153" s="3">
        <f t="shared" si="75"/>
        <v>-1.1949896244495717E-2</v>
      </c>
      <c r="U153" s="3">
        <f t="shared" si="76"/>
        <v>-1.2116363821187354E-3</v>
      </c>
      <c r="V153" s="3">
        <f t="shared" si="77"/>
        <v>6.1719358848842691E-3</v>
      </c>
      <c r="W153" s="3">
        <f t="shared" si="78"/>
        <v>9.0416273155382327E-3</v>
      </c>
      <c r="X153" s="3">
        <f t="shared" si="79"/>
        <v>1.3272329146112091E-3</v>
      </c>
      <c r="AK153" s="3"/>
      <c r="AL153" s="8"/>
      <c r="AW153" s="3"/>
      <c r="AY153" s="5"/>
      <c r="AZ153" s="28">
        <v>44372</v>
      </c>
      <c r="BA153" s="3">
        <f t="shared" si="88"/>
        <v>148</v>
      </c>
      <c r="BB153" s="3">
        <f t="shared" si="80"/>
        <v>1.3051822758763139</v>
      </c>
      <c r="BC153" s="3">
        <f t="shared" si="81"/>
        <v>1.2916181223664065</v>
      </c>
      <c r="BD153" s="3">
        <f t="shared" si="82"/>
        <v>2.2457884377066</v>
      </c>
      <c r="BE153" s="3">
        <f t="shared" si="83"/>
        <v>1.4756844997178689</v>
      </c>
      <c r="BG153" s="3">
        <f t="shared" si="84"/>
        <v>1.5124134196319869E-2</v>
      </c>
      <c r="BH153" s="3">
        <f t="shared" si="85"/>
        <v>1.1001432018335824E-2</v>
      </c>
      <c r="BI153" s="3">
        <f t="shared" si="86"/>
        <v>2.1008492034379374E-2</v>
      </c>
      <c r="BJ153" s="3">
        <f t="shared" si="87"/>
        <v>2.8343496876680217E-2</v>
      </c>
    </row>
    <row r="154" spans="1:62" ht="13.5" x14ac:dyDescent="0.2">
      <c r="A154" s="28">
        <v>44377</v>
      </c>
      <c r="B154" s="29">
        <v>269.88861100000003</v>
      </c>
      <c r="C154" s="29">
        <v>136.55581699999999</v>
      </c>
      <c r="D154" s="29">
        <v>3440.1599120000001</v>
      </c>
      <c r="E154" s="29">
        <v>2441.790039</v>
      </c>
      <c r="F154" s="29">
        <v>679.70001200000002</v>
      </c>
      <c r="G154" s="29">
        <v>2506.320068</v>
      </c>
      <c r="H154" s="29">
        <v>347.709991</v>
      </c>
      <c r="I154" s="29">
        <v>199.96523999999999</v>
      </c>
      <c r="J154" s="29">
        <v>277.92001299999998</v>
      </c>
      <c r="K154" s="29">
        <v>153.72250399999999</v>
      </c>
      <c r="L154" s="26">
        <v>4297.5</v>
      </c>
      <c r="N154" s="3">
        <f t="shared" si="69"/>
        <v>2.5807626684812767E-3</v>
      </c>
      <c r="O154" s="3">
        <f t="shared" si="70"/>
        <v>2.2608537946702239E-3</v>
      </c>
      <c r="P154" s="3">
        <f t="shared" si="71"/>
        <v>-2.0921890739959712E-3</v>
      </c>
      <c r="Q154" s="3">
        <f t="shared" si="72"/>
        <v>2.9034240990158376E-3</v>
      </c>
      <c r="R154" s="3">
        <f t="shared" si="73"/>
        <v>-2.6222802058965514E-3</v>
      </c>
      <c r="S154" s="3">
        <f t="shared" si="74"/>
        <v>8.3637136706672197E-3</v>
      </c>
      <c r="T154" s="3">
        <f t="shared" si="75"/>
        <v>1.90292708125301E-2</v>
      </c>
      <c r="U154" s="3">
        <f t="shared" si="76"/>
        <v>1.0419305364611669E-2</v>
      </c>
      <c r="V154" s="3">
        <f t="shared" si="77"/>
        <v>8.0632589212904348E-3</v>
      </c>
      <c r="W154" s="3">
        <f t="shared" si="78"/>
        <v>9.8523802456564856E-3</v>
      </c>
      <c r="X154" s="3">
        <f t="shared" si="79"/>
        <v>5.2080549958111134E-3</v>
      </c>
      <c r="AK154" s="3"/>
      <c r="AL154" s="8"/>
      <c r="AW154" s="3"/>
      <c r="AY154" s="5"/>
      <c r="AZ154" s="28">
        <v>44375</v>
      </c>
      <c r="BA154" s="3">
        <f t="shared" si="88"/>
        <v>149</v>
      </c>
      <c r="BB154" s="3">
        <f t="shared" si="80"/>
        <v>1.3250720564929293</v>
      </c>
      <c r="BC154" s="3">
        <f t="shared" si="81"/>
        <v>1.3059062220027871</v>
      </c>
      <c r="BD154" s="3">
        <f t="shared" si="82"/>
        <v>2.2934681520262732</v>
      </c>
      <c r="BE154" s="3">
        <f t="shared" si="83"/>
        <v>1.5181089472086098</v>
      </c>
      <c r="BG154" s="3">
        <f t="shared" si="84"/>
        <v>-1.149431323715132E-3</v>
      </c>
      <c r="BH154" s="3">
        <f t="shared" si="85"/>
        <v>-3.4791696233740793E-4</v>
      </c>
      <c r="BI154" s="3">
        <f t="shared" si="86"/>
        <v>-3.2313558981130977E-4</v>
      </c>
      <c r="BJ154" s="3">
        <f t="shared" si="87"/>
        <v>1.2969208715139006E-5</v>
      </c>
    </row>
    <row r="155" spans="1:62" ht="13.5" x14ac:dyDescent="0.2">
      <c r="A155" s="28">
        <v>44378</v>
      </c>
      <c r="B155" s="29">
        <v>270.586029</v>
      </c>
      <c r="C155" s="29">
        <v>136.86489900000001</v>
      </c>
      <c r="D155" s="29">
        <v>3432.969971</v>
      </c>
      <c r="E155" s="29">
        <v>2448.889893</v>
      </c>
      <c r="F155" s="29">
        <v>677.919983</v>
      </c>
      <c r="G155" s="29">
        <v>2527.3701169999999</v>
      </c>
      <c r="H155" s="29">
        <v>354.39001500000001</v>
      </c>
      <c r="I155" s="29">
        <v>202.059631</v>
      </c>
      <c r="J155" s="29">
        <v>280.17001299999998</v>
      </c>
      <c r="K155" s="29">
        <v>155.24452199999999</v>
      </c>
      <c r="L155" s="26">
        <v>4319.9399999999996</v>
      </c>
      <c r="N155" s="3">
        <f t="shared" si="69"/>
        <v>2.2030789619134183E-2</v>
      </c>
      <c r="O155" s="3">
        <f t="shared" si="70"/>
        <v>1.940692501333393E-2</v>
      </c>
      <c r="P155" s="3">
        <f t="shared" si="71"/>
        <v>2.2469427813478538E-2</v>
      </c>
      <c r="Q155" s="3">
        <f t="shared" si="72"/>
        <v>2.2713756888550943E-2</v>
      </c>
      <c r="R155" s="3">
        <f t="shared" si="73"/>
        <v>1.4446148573608038E-3</v>
      </c>
      <c r="S155" s="3">
        <f t="shared" si="74"/>
        <v>1.842940031812567E-2</v>
      </c>
      <c r="T155" s="3">
        <f t="shared" si="75"/>
        <v>8.7435165619439222E-4</v>
      </c>
      <c r="U155" s="3">
        <f t="shared" si="76"/>
        <v>1.3514038362762522E-2</v>
      </c>
      <c r="V155" s="3">
        <f t="shared" si="77"/>
        <v>-3.7548292250584895E-3</v>
      </c>
      <c r="W155" s="3">
        <f t="shared" si="78"/>
        <v>-9.6093988982754049E-4</v>
      </c>
      <c r="X155" s="3">
        <f t="shared" si="79"/>
        <v>7.4721182313641664E-3</v>
      </c>
      <c r="AK155" s="3"/>
      <c r="AL155" s="8"/>
      <c r="AW155" s="3"/>
      <c r="AY155" s="5"/>
      <c r="AZ155" s="28">
        <v>44376</v>
      </c>
      <c r="BA155" s="3">
        <f t="shared" si="88"/>
        <v>150</v>
      </c>
      <c r="BB155" s="3">
        <f t="shared" si="80"/>
        <v>1.3235498521672768</v>
      </c>
      <c r="BC155" s="3">
        <f t="shared" si="81"/>
        <v>1.305451954105266</v>
      </c>
      <c r="BD155" s="3">
        <f t="shared" si="82"/>
        <v>2.2927271705674426</v>
      </c>
      <c r="BE155" s="3">
        <f t="shared" si="83"/>
        <v>1.5181286360080724</v>
      </c>
      <c r="BG155" s="3">
        <f t="shared" si="84"/>
        <v>-7.0696211333654598E-4</v>
      </c>
      <c r="BH155" s="3">
        <f t="shared" si="85"/>
        <v>-1.1149359753480169E-5</v>
      </c>
      <c r="BI155" s="3">
        <f t="shared" si="86"/>
        <v>-1.0671819988398593E-3</v>
      </c>
      <c r="BJ155" s="3">
        <f t="shared" si="87"/>
        <v>-1.3349594571379934E-3</v>
      </c>
    </row>
    <row r="156" spans="1:62" ht="13.5" x14ac:dyDescent="0.2">
      <c r="A156" s="28">
        <v>44379</v>
      </c>
      <c r="B156" s="29">
        <v>276.61340300000001</v>
      </c>
      <c r="C156" s="29">
        <v>139.546967</v>
      </c>
      <c r="D156" s="29">
        <v>3510.9799800000001</v>
      </c>
      <c r="E156" s="29">
        <v>2505.1499020000001</v>
      </c>
      <c r="F156" s="29">
        <v>678.90002400000003</v>
      </c>
      <c r="G156" s="29">
        <v>2574.3798830000001</v>
      </c>
      <c r="H156" s="29">
        <v>354.70001200000002</v>
      </c>
      <c r="I156" s="29">
        <v>204.808807</v>
      </c>
      <c r="J156" s="29">
        <v>279.11999500000002</v>
      </c>
      <c r="K156" s="29">
        <v>155.09541300000001</v>
      </c>
      <c r="L156" s="26">
        <v>4352.34</v>
      </c>
      <c r="N156" s="3">
        <f t="shared" si="69"/>
        <v>3.6078584264898292E-5</v>
      </c>
      <c r="O156" s="3">
        <f t="shared" si="70"/>
        <v>1.4611142080487907E-2</v>
      </c>
      <c r="P156" s="3">
        <f t="shared" si="71"/>
        <v>4.5859275127305081E-2</v>
      </c>
      <c r="Q156" s="3">
        <f t="shared" si="72"/>
        <v>7.4171477876562378E-3</v>
      </c>
      <c r="R156" s="3">
        <f t="shared" si="73"/>
        <v>-2.8870582066099916E-2</v>
      </c>
      <c r="S156" s="3">
        <f t="shared" si="74"/>
        <v>8.139640202173044E-3</v>
      </c>
      <c r="T156" s="3">
        <f t="shared" si="75"/>
        <v>-5.4277652622792263E-3</v>
      </c>
      <c r="U156" s="3">
        <f t="shared" si="76"/>
        <v>1.0270679443355513E-2</v>
      </c>
      <c r="V156" s="3">
        <f t="shared" si="77"/>
        <v>-6.4696796491889282E-3</v>
      </c>
      <c r="W156" s="3">
        <f t="shared" si="78"/>
        <v>-1.6934235357356869E-2</v>
      </c>
      <c r="X156" s="3">
        <f t="shared" si="79"/>
        <v>-2.0239476634912454E-3</v>
      </c>
      <c r="AK156" s="3"/>
      <c r="AL156" s="8"/>
      <c r="AW156" s="3"/>
      <c r="AY156" s="5"/>
      <c r="AZ156" s="28">
        <v>44377</v>
      </c>
      <c r="BA156" s="3">
        <f t="shared" si="88"/>
        <v>151</v>
      </c>
      <c r="BB156" s="3">
        <f t="shared" si="80"/>
        <v>1.3226144832408366</v>
      </c>
      <c r="BC156" s="3">
        <f t="shared" si="81"/>
        <v>1.3054373992329278</v>
      </c>
      <c r="BD156" s="3">
        <f t="shared" si="82"/>
        <v>2.2902817185060607</v>
      </c>
      <c r="BE156" s="3">
        <f t="shared" si="83"/>
        <v>1.5161033479677677</v>
      </c>
      <c r="BG156" s="3">
        <f t="shared" si="84"/>
        <v>6.0701170943982755E-3</v>
      </c>
      <c r="BH156" s="3">
        <f t="shared" si="85"/>
        <v>6.2632882681996262E-3</v>
      </c>
      <c r="BI156" s="3">
        <f t="shared" si="86"/>
        <v>2.733708563394941E-3</v>
      </c>
      <c r="BJ156" s="3">
        <f t="shared" si="87"/>
        <v>-1.6547663203154326E-3</v>
      </c>
    </row>
    <row r="157" spans="1:62" ht="13.5" x14ac:dyDescent="0.2">
      <c r="A157" s="28">
        <v>44383</v>
      </c>
      <c r="B157" s="29">
        <v>276.62338299999999</v>
      </c>
      <c r="C157" s="29">
        <v>141.600876</v>
      </c>
      <c r="D157" s="29">
        <v>3675.73999</v>
      </c>
      <c r="E157" s="29">
        <v>2523.8000489999999</v>
      </c>
      <c r="F157" s="29">
        <v>659.580017</v>
      </c>
      <c r="G157" s="29">
        <v>2595.419922</v>
      </c>
      <c r="H157" s="29">
        <v>352.77999899999998</v>
      </c>
      <c r="I157" s="29">
        <v>206.92317199999999</v>
      </c>
      <c r="J157" s="29">
        <v>277.32000699999998</v>
      </c>
      <c r="K157" s="29">
        <v>152.49110400000001</v>
      </c>
      <c r="L157" s="26">
        <v>4343.54</v>
      </c>
      <c r="N157" s="3">
        <f t="shared" si="69"/>
        <v>8.1421559744993613E-3</v>
      </c>
      <c r="O157" s="3">
        <f t="shared" si="70"/>
        <v>1.7795964463474541E-2</v>
      </c>
      <c r="P157" s="3">
        <f t="shared" si="71"/>
        <v>5.6536187571244274E-3</v>
      </c>
      <c r="Q157" s="3">
        <f t="shared" si="72"/>
        <v>2.2480184590624327E-3</v>
      </c>
      <c r="R157" s="3">
        <f t="shared" si="73"/>
        <v>-2.2895723506454087E-2</v>
      </c>
      <c r="S157" s="3">
        <f t="shared" si="74"/>
        <v>2.3591168997604919E-3</v>
      </c>
      <c r="T157" s="3">
        <f t="shared" si="75"/>
        <v>-6.5124834830214903E-3</v>
      </c>
      <c r="U157" s="3">
        <f t="shared" si="76"/>
        <v>-1.5912101719838631E-2</v>
      </c>
      <c r="V157" s="3">
        <f t="shared" si="77"/>
        <v>6.8994919748241578E-3</v>
      </c>
      <c r="W157" s="3">
        <f t="shared" si="78"/>
        <v>1.1726593012992761E-3</v>
      </c>
      <c r="X157" s="3">
        <f t="shared" si="79"/>
        <v>3.3533824363036076E-3</v>
      </c>
      <c r="AK157" s="3"/>
      <c r="AL157" s="8"/>
      <c r="AW157" s="3"/>
      <c r="AY157" s="5"/>
      <c r="AZ157" s="28">
        <v>44378</v>
      </c>
      <c r="BA157" s="3">
        <f t="shared" si="88"/>
        <v>152</v>
      </c>
      <c r="BB157" s="3">
        <f t="shared" si="80"/>
        <v>1.3306673241420133</v>
      </c>
      <c r="BC157" s="3">
        <f t="shared" si="81"/>
        <v>1.3136393888803599</v>
      </c>
      <c r="BD157" s="3">
        <f t="shared" si="82"/>
        <v>2.2965512468797962</v>
      </c>
      <c r="BE157" s="3">
        <f t="shared" si="83"/>
        <v>1.513596625801144</v>
      </c>
      <c r="BG157" s="3">
        <f t="shared" si="84"/>
        <v>1.1555858589790068E-2</v>
      </c>
      <c r="BH157" s="3">
        <f t="shared" si="85"/>
        <v>1.1477588047400091E-2</v>
      </c>
      <c r="BI157" s="3">
        <f t="shared" si="86"/>
        <v>1.4496854540716364E-2</v>
      </c>
      <c r="BJ157" s="3">
        <f t="shared" si="87"/>
        <v>1.6917512976854576E-2</v>
      </c>
    </row>
    <row r="158" spans="1:62" ht="13.5" x14ac:dyDescent="0.2">
      <c r="A158" s="28">
        <v>44384</v>
      </c>
      <c r="B158" s="29">
        <v>278.88488799999999</v>
      </c>
      <c r="C158" s="29">
        <v>144.14335600000001</v>
      </c>
      <c r="D158" s="29">
        <v>3696.580078</v>
      </c>
      <c r="E158" s="29">
        <v>2529.4799800000001</v>
      </c>
      <c r="F158" s="29">
        <v>644.65002400000003</v>
      </c>
      <c r="G158" s="29">
        <v>2601.5500489999999</v>
      </c>
      <c r="H158" s="29">
        <v>350.48998999999998</v>
      </c>
      <c r="I158" s="29">
        <v>203.65664699999999</v>
      </c>
      <c r="J158" s="29">
        <v>279.23998999999998</v>
      </c>
      <c r="K158" s="29">
        <v>152.670029</v>
      </c>
      <c r="L158" s="26">
        <v>4358.13</v>
      </c>
      <c r="N158" s="3">
        <f t="shared" si="69"/>
        <v>-9.0069035438188755E-3</v>
      </c>
      <c r="O158" s="3">
        <f t="shared" si="70"/>
        <v>-9.2423091645327127E-3</v>
      </c>
      <c r="P158" s="3">
        <f t="shared" si="71"/>
        <v>9.3780657525682626E-3</v>
      </c>
      <c r="Q158" s="3">
        <f t="shared" si="72"/>
        <v>-1.137111695774711E-2</v>
      </c>
      <c r="R158" s="3">
        <f t="shared" si="73"/>
        <v>1.2578548009990314E-2</v>
      </c>
      <c r="S158" s="3">
        <f t="shared" si="74"/>
        <v>-6.9468734865209044E-3</v>
      </c>
      <c r="T158" s="3">
        <f t="shared" si="75"/>
        <v>-1.3905461833007662E-2</v>
      </c>
      <c r="U158" s="3">
        <f t="shared" si="76"/>
        <v>-2.3291299264116227E-2</v>
      </c>
      <c r="V158" s="3">
        <f t="shared" si="77"/>
        <v>-1.8578566092150466E-2</v>
      </c>
      <c r="W158" s="3">
        <f t="shared" si="78"/>
        <v>-1.7404293766796152E-2</v>
      </c>
      <c r="X158" s="3">
        <f t="shared" si="79"/>
        <v>-8.5978672165738772E-3</v>
      </c>
      <c r="AK158" s="3"/>
      <c r="AL158" s="8"/>
      <c r="AW158" s="3"/>
      <c r="AY158" s="5"/>
      <c r="AZ158" s="28">
        <v>44379</v>
      </c>
      <c r="BA158" s="3">
        <f t="shared" si="88"/>
        <v>153</v>
      </c>
      <c r="BB158" s="3">
        <f t="shared" si="80"/>
        <v>1.3461335180347964</v>
      </c>
      <c r="BC158" s="3">
        <f t="shared" si="81"/>
        <v>1.3288036587784717</v>
      </c>
      <c r="BD158" s="3">
        <f t="shared" si="82"/>
        <v>2.3300865068351402</v>
      </c>
      <c r="BE158" s="3">
        <f t="shared" si="83"/>
        <v>1.5394207403493243</v>
      </c>
      <c r="BG158" s="3">
        <f t="shared" si="84"/>
        <v>2.3743539593253492E-3</v>
      </c>
      <c r="BH158" s="3">
        <f t="shared" si="85"/>
        <v>3.2287449460289734E-3</v>
      </c>
      <c r="BI158" s="3">
        <f t="shared" si="86"/>
        <v>2.1594639771533104E-3</v>
      </c>
      <c r="BJ158" s="3">
        <f t="shared" si="87"/>
        <v>6.098391651247621E-4</v>
      </c>
    </row>
    <row r="159" spans="1:62" ht="13.5" x14ac:dyDescent="0.2">
      <c r="A159" s="28">
        <v>44385</v>
      </c>
      <c r="B159" s="29">
        <v>276.384277</v>
      </c>
      <c r="C159" s="29">
        <v>142.81727599999999</v>
      </c>
      <c r="D159" s="29">
        <v>3731.4099120000001</v>
      </c>
      <c r="E159" s="29">
        <v>2500.8798830000001</v>
      </c>
      <c r="F159" s="29">
        <v>652.80999799999995</v>
      </c>
      <c r="G159" s="29">
        <v>2583.540039</v>
      </c>
      <c r="H159" s="29">
        <v>345.64999399999999</v>
      </c>
      <c r="I159" s="29">
        <v>198.96803299999999</v>
      </c>
      <c r="J159" s="29">
        <v>274.10000600000001</v>
      </c>
      <c r="K159" s="29">
        <v>150.03590399999999</v>
      </c>
      <c r="L159" s="26">
        <v>4320.82</v>
      </c>
      <c r="N159" s="3">
        <f t="shared" si="69"/>
        <v>1.8726899648046466E-3</v>
      </c>
      <c r="O159" s="3">
        <f t="shared" si="70"/>
        <v>1.297056954240694E-2</v>
      </c>
      <c r="P159" s="3">
        <f t="shared" si="71"/>
        <v>-3.2398978782041078E-3</v>
      </c>
      <c r="Q159" s="3">
        <f t="shared" si="72"/>
        <v>3.7875760919373492E-3</v>
      </c>
      <c r="R159" s="3">
        <f t="shared" si="73"/>
        <v>6.3218112577207042E-3</v>
      </c>
      <c r="S159" s="3">
        <f t="shared" si="74"/>
        <v>3.0724294194596014E-3</v>
      </c>
      <c r="T159" s="3">
        <f t="shared" si="75"/>
        <v>1.370578712460585E-2</v>
      </c>
      <c r="U159" s="3">
        <f t="shared" si="76"/>
        <v>7.3838077078470779E-3</v>
      </c>
      <c r="V159" s="3">
        <f t="shared" si="77"/>
        <v>2.3045012852909857E-2</v>
      </c>
      <c r="W159" s="3">
        <f t="shared" si="78"/>
        <v>3.1498163768859333E-2</v>
      </c>
      <c r="X159" s="3">
        <f t="shared" si="79"/>
        <v>1.1214829918570923E-2</v>
      </c>
      <c r="AK159" s="3"/>
      <c r="AL159" s="8"/>
      <c r="AW159" s="3"/>
      <c r="AY159" s="5"/>
      <c r="AZ159" s="28">
        <v>44383</v>
      </c>
      <c r="BA159" s="3">
        <f t="shared" si="88"/>
        <v>154</v>
      </c>
      <c r="BB159" s="3">
        <f t="shared" si="80"/>
        <v>1.3493335129400637</v>
      </c>
      <c r="BC159" s="3">
        <f t="shared" si="81"/>
        <v>1.3331009605885615</v>
      </c>
      <c r="BD159" s="3">
        <f t="shared" si="82"/>
        <v>2.3351236815514933</v>
      </c>
      <c r="BE159" s="3">
        <f t="shared" si="83"/>
        <v>1.5403598257248112</v>
      </c>
      <c r="BG159" s="3">
        <f t="shared" si="84"/>
        <v>-5.7524124752673358E-4</v>
      </c>
      <c r="BH159" s="3">
        <f t="shared" si="85"/>
        <v>2.1361796636015103E-3</v>
      </c>
      <c r="BI159" s="3">
        <f t="shared" si="86"/>
        <v>-4.1603148084311007E-3</v>
      </c>
      <c r="BJ159" s="3">
        <f t="shared" si="87"/>
        <v>-9.3930760594525056E-3</v>
      </c>
    </row>
    <row r="160" spans="1:62" ht="13.5" x14ac:dyDescent="0.2">
      <c r="A160" s="28">
        <v>44386</v>
      </c>
      <c r="B160" s="29">
        <v>276.90234400000003</v>
      </c>
      <c r="C160" s="29">
        <v>144.68176299999999</v>
      </c>
      <c r="D160" s="29">
        <v>3719.3400879999999</v>
      </c>
      <c r="E160" s="29">
        <v>2510.3701169999999</v>
      </c>
      <c r="F160" s="29">
        <v>656.95001200000002</v>
      </c>
      <c r="G160" s="29">
        <v>2591.48999</v>
      </c>
      <c r="H160" s="29">
        <v>350.42001299999998</v>
      </c>
      <c r="I160" s="29">
        <v>200.442612</v>
      </c>
      <c r="J160" s="29">
        <v>280.48998999999998</v>
      </c>
      <c r="K160" s="29">
        <v>154.836975</v>
      </c>
      <c r="L160" s="26">
        <v>4369.55</v>
      </c>
      <c r="N160" s="3">
        <f t="shared" si="69"/>
        <v>-2.2331553102152711E-3</v>
      </c>
      <c r="O160" s="3">
        <f t="shared" si="70"/>
        <v>-4.2125692214103096E-3</v>
      </c>
      <c r="P160" s="3">
        <f t="shared" si="71"/>
        <v>-2.1243631955273373E-4</v>
      </c>
      <c r="Q160" s="3">
        <f t="shared" si="72"/>
        <v>1.1540953727111957E-2</v>
      </c>
      <c r="R160" s="3">
        <f t="shared" si="73"/>
        <v>4.2832301436621825E-2</v>
      </c>
      <c r="S160" s="3">
        <f t="shared" si="74"/>
        <v>7.6075376665638312E-3</v>
      </c>
      <c r="T160" s="3">
        <f t="shared" si="75"/>
        <v>7.7887512024127983E-3</v>
      </c>
      <c r="U160" s="3">
        <f t="shared" si="76"/>
        <v>2.2792783648136167E-2</v>
      </c>
      <c r="V160" s="3">
        <f t="shared" si="77"/>
        <v>-1.3557084379189868E-3</v>
      </c>
      <c r="W160" s="3">
        <f t="shared" si="78"/>
        <v>1.4214480112757576E-2</v>
      </c>
      <c r="X160" s="3">
        <f t="shared" si="79"/>
        <v>3.4452147239393167E-3</v>
      </c>
      <c r="AK160" s="3"/>
      <c r="AL160" s="8"/>
      <c r="AW160" s="3"/>
      <c r="AY160" s="5"/>
      <c r="AZ160" s="28">
        <v>44384</v>
      </c>
      <c r="BA160" s="3">
        <f t="shared" si="88"/>
        <v>155</v>
      </c>
      <c r="BB160" s="3">
        <f t="shared" si="80"/>
        <v>1.3485575438528608</v>
      </c>
      <c r="BC160" s="3">
        <f t="shared" si="81"/>
        <v>1.3359517475626039</v>
      </c>
      <c r="BD160" s="3">
        <f t="shared" si="82"/>
        <v>2.3254290123406745</v>
      </c>
      <c r="BE160" s="3">
        <f t="shared" si="83"/>
        <v>1.5259588493389908</v>
      </c>
      <c r="BG160" s="3">
        <f t="shared" si="84"/>
        <v>-9.1091192304161728E-3</v>
      </c>
      <c r="BH160" s="3">
        <f t="shared" si="85"/>
        <v>-1.0183271194603539E-2</v>
      </c>
      <c r="BI160" s="3">
        <f t="shared" si="86"/>
        <v>-4.3708005309871633E-3</v>
      </c>
      <c r="BJ160" s="3">
        <f t="shared" si="87"/>
        <v>2.5872964204447487E-3</v>
      </c>
    </row>
    <row r="161" spans="1:62" ht="13.5" x14ac:dyDescent="0.2">
      <c r="A161" s="28">
        <v>44389</v>
      </c>
      <c r="B161" s="29">
        <v>276.28466800000001</v>
      </c>
      <c r="C161" s="29">
        <v>144.07356300000001</v>
      </c>
      <c r="D161" s="29">
        <v>3718.5500489999999</v>
      </c>
      <c r="E161" s="29">
        <v>2539.51001</v>
      </c>
      <c r="F161" s="29">
        <v>685.70001200000002</v>
      </c>
      <c r="G161" s="29">
        <v>2611.280029</v>
      </c>
      <c r="H161" s="29">
        <v>353.16000400000001</v>
      </c>
      <c r="I161" s="29">
        <v>205.06372099999999</v>
      </c>
      <c r="J161" s="29">
        <v>280.10998499999999</v>
      </c>
      <c r="K161" s="29">
        <v>157.053619</v>
      </c>
      <c r="L161" s="26">
        <v>4384.63</v>
      </c>
      <c r="N161" s="3">
        <f t="shared" si="69"/>
        <v>1.3111293506984161E-2</v>
      </c>
      <c r="O161" s="3">
        <f t="shared" si="70"/>
        <v>7.8582556905214002E-3</v>
      </c>
      <c r="P161" s="3">
        <f t="shared" si="71"/>
        <v>-1.1138688004924024E-2</v>
      </c>
      <c r="Q161" s="3">
        <f t="shared" si="72"/>
        <v>2.8783262334426949E-3</v>
      </c>
      <c r="R161" s="3">
        <f t="shared" si="73"/>
        <v>-2.5344034493779376E-2</v>
      </c>
      <c r="S161" s="3">
        <f t="shared" si="74"/>
        <v>3.2917576384809983E-3</v>
      </c>
      <c r="T161" s="3">
        <f t="shared" si="75"/>
        <v>-3.0344099851711474E-3</v>
      </c>
      <c r="U161" s="3">
        <f t="shared" si="76"/>
        <v>-1.2879619354151006E-2</v>
      </c>
      <c r="V161" s="3">
        <f t="shared" si="77"/>
        <v>-3.2181749816261184E-3</v>
      </c>
      <c r="W161" s="3">
        <f t="shared" si="78"/>
        <v>-1.4985219645875918E-2</v>
      </c>
      <c r="X161" s="3">
        <f t="shared" si="79"/>
        <v>-3.5230289676471218E-3</v>
      </c>
      <c r="AK161" s="3"/>
      <c r="AL161" s="8"/>
      <c r="AW161" s="3"/>
      <c r="AY161" s="5"/>
      <c r="AZ161" s="28">
        <v>44385</v>
      </c>
      <c r="BA161" s="3">
        <f t="shared" si="88"/>
        <v>156</v>
      </c>
      <c r="BB161" s="3">
        <f t="shared" si="80"/>
        <v>1.3363291518922022</v>
      </c>
      <c r="BC161" s="3">
        <f t="shared" si="81"/>
        <v>1.3224164225235104</v>
      </c>
      <c r="BD161" s="3">
        <f t="shared" si="82"/>
        <v>2.3152872060306291</v>
      </c>
      <c r="BE161" s="3">
        <f t="shared" si="83"/>
        <v>1.5299120690780004</v>
      </c>
      <c r="BG161" s="3">
        <f t="shared" si="84"/>
        <v>9.9133054709650316E-3</v>
      </c>
      <c r="BH161" s="3">
        <f t="shared" si="85"/>
        <v>1.0911038187360245E-2</v>
      </c>
      <c r="BI161" s="3">
        <f t="shared" si="86"/>
        <v>5.5555687838977144E-3</v>
      </c>
      <c r="BJ161" s="3">
        <f t="shared" si="87"/>
        <v>6.7033425842668811E-4</v>
      </c>
    </row>
    <row r="162" spans="1:62" ht="13.5" x14ac:dyDescent="0.2">
      <c r="A162" s="28">
        <v>44390</v>
      </c>
      <c r="B162" s="29">
        <v>279.930969</v>
      </c>
      <c r="C162" s="29">
        <v>145.21019000000001</v>
      </c>
      <c r="D162" s="29">
        <v>3677.360107</v>
      </c>
      <c r="E162" s="29">
        <v>2546.830078</v>
      </c>
      <c r="F162" s="29">
        <v>668.53997800000002</v>
      </c>
      <c r="G162" s="29">
        <v>2619.889893</v>
      </c>
      <c r="H162" s="29">
        <v>352.08999599999999</v>
      </c>
      <c r="I162" s="29">
        <v>202.439514</v>
      </c>
      <c r="J162" s="29">
        <v>279.209991</v>
      </c>
      <c r="K162" s="29">
        <v>154.717682</v>
      </c>
      <c r="L162" s="26">
        <v>4369.21</v>
      </c>
      <c r="N162" s="3">
        <f t="shared" si="69"/>
        <v>5.4305808747801597E-3</v>
      </c>
      <c r="O162" s="3">
        <f t="shared" si="70"/>
        <v>2.3814638196737861E-2</v>
      </c>
      <c r="P162" s="3">
        <f t="shared" si="71"/>
        <v>1.1740187506201517E-3</v>
      </c>
      <c r="Q162" s="3">
        <f t="shared" si="72"/>
        <v>7.0076258579065921E-3</v>
      </c>
      <c r="R162" s="3">
        <f t="shared" si="73"/>
        <v>-2.293730006740647E-2</v>
      </c>
      <c r="S162" s="3">
        <f t="shared" si="74"/>
        <v>8.2713935116530846E-3</v>
      </c>
      <c r="T162" s="3">
        <f t="shared" si="75"/>
        <v>-1.2748103225369043E-2</v>
      </c>
      <c r="U162" s="3">
        <f t="shared" si="76"/>
        <v>-2.0379196464493536E-2</v>
      </c>
      <c r="V162" s="3">
        <f t="shared" si="77"/>
        <v>-3.228561484867172E-3</v>
      </c>
      <c r="W162" s="3">
        <f t="shared" si="78"/>
        <v>-3.4108834444506525E-3</v>
      </c>
      <c r="X162" s="3">
        <f t="shared" si="79"/>
        <v>1.1642922750682311E-3</v>
      </c>
      <c r="AK162" s="3"/>
      <c r="AL162" s="8"/>
      <c r="AW162" s="3"/>
      <c r="AY162" s="5"/>
      <c r="AZ162" s="28">
        <v>44386</v>
      </c>
      <c r="BA162" s="3">
        <f t="shared" si="88"/>
        <v>157</v>
      </c>
      <c r="BB162" s="3">
        <f t="shared" si="80"/>
        <v>1.3496424714576714</v>
      </c>
      <c r="BC162" s="3">
        <f t="shared" si="81"/>
        <v>1.336924363024182</v>
      </c>
      <c r="BD162" s="3">
        <f t="shared" si="82"/>
        <v>2.3281857395278567</v>
      </c>
      <c r="BE162" s="3">
        <f t="shared" si="83"/>
        <v>1.5309379653585795</v>
      </c>
      <c r="BG162" s="3">
        <f t="shared" si="84"/>
        <v>1.0473649494789506E-2</v>
      </c>
      <c r="BH162" s="3">
        <f t="shared" si="85"/>
        <v>7.1496408761237652E-3</v>
      </c>
      <c r="BI162" s="3">
        <f t="shared" si="86"/>
        <v>1.6285967730350914E-2</v>
      </c>
      <c r="BJ162" s="3">
        <f t="shared" si="87"/>
        <v>2.4578900334389562E-2</v>
      </c>
    </row>
    <row r="163" spans="1:62" ht="13.5" x14ac:dyDescent="0.2">
      <c r="A163" s="28">
        <v>44391</v>
      </c>
      <c r="B163" s="29">
        <v>281.45529199999999</v>
      </c>
      <c r="C163" s="29">
        <v>148.709824</v>
      </c>
      <c r="D163" s="29">
        <v>3681.679932</v>
      </c>
      <c r="E163" s="29">
        <v>2564.73999</v>
      </c>
      <c r="F163" s="29">
        <v>653.38000499999998</v>
      </c>
      <c r="G163" s="29">
        <v>2641.6499020000001</v>
      </c>
      <c r="H163" s="29">
        <v>347.63000499999998</v>
      </c>
      <c r="I163" s="29">
        <v>198.35571300000001</v>
      </c>
      <c r="J163" s="29">
        <v>278.30999800000001</v>
      </c>
      <c r="K163" s="29">
        <v>154.19085699999999</v>
      </c>
      <c r="L163" s="26">
        <v>4374.3</v>
      </c>
      <c r="N163" s="3">
        <f t="shared" si="69"/>
        <v>-5.252677836474374E-3</v>
      </c>
      <c r="O163" s="3">
        <f t="shared" si="70"/>
        <v>-4.5021900747042546E-3</v>
      </c>
      <c r="P163" s="3">
        <f t="shared" si="71"/>
        <v>-1.380599260983867E-2</v>
      </c>
      <c r="Q163" s="3">
        <f t="shared" si="72"/>
        <v>-9.6536161481930224E-3</v>
      </c>
      <c r="R163" s="3">
        <f t="shared" si="73"/>
        <v>-4.2639200792726189E-3</v>
      </c>
      <c r="S163" s="3">
        <f t="shared" si="74"/>
        <v>-6.1970526905673973E-3</v>
      </c>
      <c r="T163" s="3">
        <f t="shared" si="75"/>
        <v>-9.1607628694046865E-3</v>
      </c>
      <c r="U163" s="3">
        <f t="shared" si="76"/>
        <v>-4.5114426280387074E-2</v>
      </c>
      <c r="V163" s="3">
        <f t="shared" si="77"/>
        <v>5.0535132636111545E-3</v>
      </c>
      <c r="W163" s="3">
        <f t="shared" si="78"/>
        <v>2.1895728676168957E-3</v>
      </c>
      <c r="X163" s="3">
        <f t="shared" si="79"/>
        <v>-3.267568936996537E-3</v>
      </c>
      <c r="AK163" s="3"/>
      <c r="AL163" s="8"/>
      <c r="AW163" s="3"/>
      <c r="AY163" s="5"/>
      <c r="AZ163" s="28">
        <v>44389</v>
      </c>
      <c r="BA163" s="3">
        <f t="shared" si="88"/>
        <v>158</v>
      </c>
      <c r="BB163" s="3">
        <f t="shared" si="80"/>
        <v>1.3638524388565441</v>
      </c>
      <c r="BC163" s="3">
        <f t="shared" si="81"/>
        <v>1.346517143703672</v>
      </c>
      <c r="BD163" s="3">
        <f t="shared" si="82"/>
        <v>2.3664129358735075</v>
      </c>
      <c r="BE163" s="3">
        <f t="shared" si="83"/>
        <v>1.569032986067431</v>
      </c>
      <c r="BG163" s="3">
        <f t="shared" si="84"/>
        <v>-4.4726836688084859E-3</v>
      </c>
      <c r="BH163" s="3">
        <f t="shared" si="85"/>
        <v>-2.5257845059710893E-3</v>
      </c>
      <c r="BI163" s="3">
        <f t="shared" si="86"/>
        <v>-6.6914161829427117E-3</v>
      </c>
      <c r="BJ163" s="3">
        <f t="shared" si="87"/>
        <v>-1.094698540839735E-2</v>
      </c>
    </row>
    <row r="164" spans="1:62" ht="13.5" x14ac:dyDescent="0.2">
      <c r="A164" s="28">
        <v>44392</v>
      </c>
      <c r="B164" s="29">
        <v>279.980774</v>
      </c>
      <c r="C164" s="29">
        <v>148.041809</v>
      </c>
      <c r="D164" s="29">
        <v>3631.1999510000001</v>
      </c>
      <c r="E164" s="29">
        <v>2540.1000979999999</v>
      </c>
      <c r="F164" s="29">
        <v>650.59997599999997</v>
      </c>
      <c r="G164" s="29">
        <v>2625.330078</v>
      </c>
      <c r="H164" s="29">
        <v>344.459991</v>
      </c>
      <c r="I164" s="29">
        <v>189.60586499999999</v>
      </c>
      <c r="J164" s="29">
        <v>279.72000100000002</v>
      </c>
      <c r="K164" s="29">
        <v>154.528839</v>
      </c>
      <c r="L164" s="26">
        <v>4360.03</v>
      </c>
      <c r="N164" s="3">
        <f t="shared" si="69"/>
        <v>-9.9674713711281815E-4</v>
      </c>
      <c r="O164" s="3">
        <f t="shared" si="70"/>
        <v>-1.4175975603091643E-2</v>
      </c>
      <c r="P164" s="3">
        <f t="shared" si="71"/>
        <v>-1.5981305489338488E-2</v>
      </c>
      <c r="Q164" s="3">
        <f t="shared" si="72"/>
        <v>-2.7569485360170824E-4</v>
      </c>
      <c r="R164" s="3">
        <f t="shared" si="73"/>
        <v>-9.8547394918045914E-3</v>
      </c>
      <c r="S164" s="3">
        <f t="shared" si="74"/>
        <v>4.401111585017943E-3</v>
      </c>
      <c r="T164" s="3">
        <f t="shared" si="75"/>
        <v>-9.6263601041351645E-3</v>
      </c>
      <c r="U164" s="3">
        <f t="shared" si="76"/>
        <v>-4.3384720764505898E-2</v>
      </c>
      <c r="V164" s="3">
        <f t="shared" si="77"/>
        <v>-6.5277912527121054E-3</v>
      </c>
      <c r="W164" s="3">
        <f t="shared" si="78"/>
        <v>-2.3100293026866579E-2</v>
      </c>
      <c r="X164" s="3">
        <f t="shared" si="79"/>
        <v>-7.5675003916981084E-3</v>
      </c>
      <c r="AK164" s="3"/>
      <c r="AL164" s="8"/>
      <c r="AW164" s="3"/>
      <c r="AY164" s="5"/>
      <c r="AZ164" s="28">
        <v>44390</v>
      </c>
      <c r="BA164" s="3">
        <f t="shared" si="88"/>
        <v>159</v>
      </c>
      <c r="BB164" s="3">
        <f t="shared" si="80"/>
        <v>1.3577659798760271</v>
      </c>
      <c r="BC164" s="3">
        <f t="shared" si="81"/>
        <v>1.3431204230630696</v>
      </c>
      <c r="BD164" s="3">
        <f t="shared" si="82"/>
        <v>2.350631142219445</v>
      </c>
      <c r="BE164" s="3">
        <f t="shared" si="83"/>
        <v>1.5519504764474226</v>
      </c>
      <c r="BG164" s="3">
        <f t="shared" si="84"/>
        <v>-1.9097642290211449E-3</v>
      </c>
      <c r="BH164" s="3">
        <f t="shared" si="85"/>
        <v>3.8164894803241538E-4</v>
      </c>
      <c r="BI164" s="3">
        <f t="shared" si="86"/>
        <v>-3.6496010686475886E-3</v>
      </c>
      <c r="BJ164" s="3">
        <f t="shared" si="87"/>
        <v>-6.9605780025819705E-3</v>
      </c>
    </row>
    <row r="165" spans="1:62" ht="13.5" x14ac:dyDescent="0.2">
      <c r="A165" s="28">
        <v>44393</v>
      </c>
      <c r="B165" s="29">
        <v>279.701843</v>
      </c>
      <c r="C165" s="29">
        <v>145.957977</v>
      </c>
      <c r="D165" s="29">
        <v>3573.6298830000001</v>
      </c>
      <c r="E165" s="29">
        <v>2539.3999020000001</v>
      </c>
      <c r="F165" s="29">
        <v>644.21997099999999</v>
      </c>
      <c r="G165" s="29">
        <v>2636.9099120000001</v>
      </c>
      <c r="H165" s="29">
        <v>341.16000400000001</v>
      </c>
      <c r="I165" s="29">
        <v>181.555756</v>
      </c>
      <c r="J165" s="29">
        <v>277.89999399999999</v>
      </c>
      <c r="K165" s="29">
        <v>151.000092</v>
      </c>
      <c r="L165" s="26">
        <v>4327.16</v>
      </c>
      <c r="N165" s="3">
        <f t="shared" si="69"/>
        <v>-1.3411008675410448E-2</v>
      </c>
      <c r="O165" s="3">
        <f t="shared" si="70"/>
        <v>-2.7283250846334942E-2</v>
      </c>
      <c r="P165" s="3">
        <f t="shared" si="71"/>
        <v>-6.749724525270423E-3</v>
      </c>
      <c r="Q165" s="3">
        <f t="shared" si="72"/>
        <v>-1.9018750054071856E-2</v>
      </c>
      <c r="R165" s="3">
        <f t="shared" si="73"/>
        <v>3.0997205468979829E-3</v>
      </c>
      <c r="S165" s="3">
        <f t="shared" si="74"/>
        <v>-1.9851258293195419E-2</v>
      </c>
      <c r="T165" s="3">
        <f t="shared" si="75"/>
        <v>-1.2417000169794759E-2</v>
      </c>
      <c r="U165" s="3">
        <f t="shared" si="76"/>
        <v>3.350264992145114E-2</v>
      </c>
      <c r="V165" s="3">
        <f t="shared" si="77"/>
        <v>-1.9035702729688672E-2</v>
      </c>
      <c r="W165" s="3">
        <f t="shared" si="78"/>
        <v>-3.305979375523705E-2</v>
      </c>
      <c r="X165" s="3">
        <f t="shared" si="79"/>
        <v>-1.5996800327963308E-2</v>
      </c>
      <c r="AK165" s="3"/>
      <c r="AL165" s="8"/>
      <c r="AW165" s="3"/>
      <c r="AY165" s="5"/>
      <c r="AZ165" s="28">
        <v>44391</v>
      </c>
      <c r="BA165" s="3">
        <f t="shared" si="88"/>
        <v>160</v>
      </c>
      <c r="BB165" s="3">
        <f t="shared" si="80"/>
        <v>1.355175441422465</v>
      </c>
      <c r="BC165" s="3">
        <f t="shared" si="81"/>
        <v>1.3436331213887778</v>
      </c>
      <c r="BD165" s="3">
        <f t="shared" si="82"/>
        <v>2.3420679119828054</v>
      </c>
      <c r="BE165" s="3">
        <f t="shared" si="83"/>
        <v>1.541185512747917</v>
      </c>
      <c r="BG165" s="3">
        <f t="shared" si="84"/>
        <v>-9.4730404522735973E-3</v>
      </c>
      <c r="BH165" s="3">
        <f t="shared" si="85"/>
        <v>-7.1080004445443013E-3</v>
      </c>
      <c r="BI165" s="3">
        <f t="shared" si="86"/>
        <v>-1.3449459210222963E-2</v>
      </c>
      <c r="BJ165" s="3">
        <f t="shared" si="87"/>
        <v>-1.754458888606367E-2</v>
      </c>
    </row>
    <row r="166" spans="1:62" ht="13.5" x14ac:dyDescent="0.2">
      <c r="A166" s="28">
        <v>44396</v>
      </c>
      <c r="B166" s="29">
        <v>275.97579999999999</v>
      </c>
      <c r="C166" s="29">
        <v>142.02960200000001</v>
      </c>
      <c r="D166" s="29">
        <v>3549.5900879999999</v>
      </c>
      <c r="E166" s="29">
        <v>2491.5600589999999</v>
      </c>
      <c r="F166" s="29">
        <v>646.21997099999999</v>
      </c>
      <c r="G166" s="29">
        <v>2585.080078</v>
      </c>
      <c r="H166" s="29">
        <v>336.95001200000002</v>
      </c>
      <c r="I166" s="29">
        <v>187.74139400000001</v>
      </c>
      <c r="J166" s="29">
        <v>272.66000400000001</v>
      </c>
      <c r="K166" s="29">
        <v>146.089676</v>
      </c>
      <c r="L166" s="26">
        <v>4258.49</v>
      </c>
      <c r="N166" s="3">
        <f t="shared" si="69"/>
        <v>8.3044183350225297E-3</v>
      </c>
      <c r="O166" s="3">
        <f t="shared" si="70"/>
        <v>2.5642371791581273E-2</v>
      </c>
      <c r="P166" s="3">
        <f t="shared" si="71"/>
        <v>6.626609066537793E-3</v>
      </c>
      <c r="Q166" s="3">
        <f t="shared" si="72"/>
        <v>1.3011151801806498E-2</v>
      </c>
      <c r="R166" s="3">
        <f t="shared" si="73"/>
        <v>2.1857165757061793E-2</v>
      </c>
      <c r="S166" s="3">
        <f t="shared" si="74"/>
        <v>1.419235255348736E-2</v>
      </c>
      <c r="T166" s="3">
        <f t="shared" si="75"/>
        <v>1.3881515220639112E-2</v>
      </c>
      <c r="U166" s="3">
        <f t="shared" si="76"/>
        <v>-8.9726446933095175E-3</v>
      </c>
      <c r="V166" s="3">
        <f t="shared" si="77"/>
        <v>1.5394757149031458E-2</v>
      </c>
      <c r="W166" s="3">
        <f t="shared" si="78"/>
        <v>1.8471699957829261E-2</v>
      </c>
      <c r="X166" s="3">
        <f t="shared" si="79"/>
        <v>1.5048847488145101E-2</v>
      </c>
      <c r="AK166" s="3"/>
      <c r="AL166" s="8"/>
      <c r="AW166" s="3"/>
      <c r="AY166" s="5"/>
      <c r="AZ166" s="28">
        <v>44392</v>
      </c>
      <c r="BA166" s="3">
        <f t="shared" si="88"/>
        <v>161</v>
      </c>
      <c r="BB166" s="3">
        <f t="shared" si="80"/>
        <v>1.3423984237974049</v>
      </c>
      <c r="BC166" s="3">
        <f t="shared" si="81"/>
        <v>1.3341164389243461</v>
      </c>
      <c r="BD166" s="3">
        <f t="shared" si="82"/>
        <v>2.3107792446046704</v>
      </c>
      <c r="BE166" s="3">
        <f t="shared" si="83"/>
        <v>1.5143818635705455</v>
      </c>
      <c r="BG166" s="3">
        <f t="shared" si="84"/>
        <v>-1.1837855147626197E-2</v>
      </c>
      <c r="BH166" s="3">
        <f t="shared" si="85"/>
        <v>-1.0070895535211108E-2</v>
      </c>
      <c r="BI166" s="3">
        <f t="shared" si="86"/>
        <v>-1.3949883216247563E-2</v>
      </c>
      <c r="BJ166" s="3">
        <f t="shared" si="87"/>
        <v>-1.6840978831835982E-2</v>
      </c>
    </row>
    <row r="167" spans="1:62" ht="13.5" x14ac:dyDescent="0.2">
      <c r="A167" s="28">
        <v>44397</v>
      </c>
      <c r="B167" s="29">
        <v>278.27716099999998</v>
      </c>
      <c r="C167" s="29">
        <v>145.71867399999999</v>
      </c>
      <c r="D167" s="29">
        <v>3573.1899410000001</v>
      </c>
      <c r="E167" s="29">
        <v>2524.1899410000001</v>
      </c>
      <c r="F167" s="29">
        <v>660.5</v>
      </c>
      <c r="G167" s="29">
        <v>2622.030029</v>
      </c>
      <c r="H167" s="29">
        <v>341.66000400000001</v>
      </c>
      <c r="I167" s="29">
        <v>186.064392</v>
      </c>
      <c r="J167" s="29">
        <v>276.89001500000001</v>
      </c>
      <c r="K167" s="29">
        <v>148.813278</v>
      </c>
      <c r="L167" s="26">
        <v>4323.0600000000004</v>
      </c>
      <c r="N167" s="3">
        <f t="shared" si="69"/>
        <v>7.4190690690311206E-3</v>
      </c>
      <c r="O167" s="3">
        <f t="shared" si="70"/>
        <v>-5.1448329333353623E-3</v>
      </c>
      <c r="P167" s="3">
        <f t="shared" si="71"/>
        <v>3.3555091158846808E-3</v>
      </c>
      <c r="Q167" s="3">
        <f t="shared" si="72"/>
        <v>1.0557395416601646E-2</v>
      </c>
      <c r="R167" s="3">
        <f t="shared" si="73"/>
        <v>-7.9192717924634233E-3</v>
      </c>
      <c r="S167" s="3">
        <f t="shared" si="74"/>
        <v>1.1369008842513484E-2</v>
      </c>
      <c r="T167" s="3">
        <f t="shared" si="75"/>
        <v>1.3287223644753746E-2</v>
      </c>
      <c r="U167" s="3">
        <f t="shared" si="76"/>
        <v>4.1981941657665792E-2</v>
      </c>
      <c r="V167" s="3">
        <f t="shared" si="77"/>
        <v>1.0740588165194638E-2</v>
      </c>
      <c r="W167" s="3">
        <f t="shared" si="78"/>
        <v>2.0822292422385074E-2</v>
      </c>
      <c r="X167" s="3">
        <f t="shared" si="79"/>
        <v>8.2080686588838214E-3</v>
      </c>
      <c r="AK167" s="3"/>
      <c r="AL167" s="8"/>
      <c r="AW167" s="3"/>
      <c r="AY167" s="5"/>
      <c r="AZ167" s="28">
        <v>44393</v>
      </c>
      <c r="BA167" s="3">
        <f t="shared" si="88"/>
        <v>162</v>
      </c>
      <c r="BB167" s="3">
        <f t="shared" si="80"/>
        <v>1.3266009940291337</v>
      </c>
      <c r="BC167" s="3">
        <f t="shared" si="81"/>
        <v>1.3207481200949924</v>
      </c>
      <c r="BD167" s="3">
        <f t="shared" si="82"/>
        <v>2.2787679400965986</v>
      </c>
      <c r="BE167" s="3">
        <f t="shared" si="83"/>
        <v>1.4890917435767157</v>
      </c>
      <c r="BG167" s="3">
        <f t="shared" si="84"/>
        <v>-1.1205809930964771E-2</v>
      </c>
      <c r="BH167" s="3">
        <f t="shared" si="85"/>
        <v>-1.4701252407429704E-2</v>
      </c>
      <c r="BI167" s="3">
        <f t="shared" si="86"/>
        <v>-3.7925611231551734E-3</v>
      </c>
      <c r="BJ167" s="3">
        <f t="shared" si="87"/>
        <v>5.3905634905182364E-3</v>
      </c>
    </row>
    <row r="168" spans="1:62" ht="13.5" x14ac:dyDescent="0.2">
      <c r="A168" s="28">
        <v>44398</v>
      </c>
      <c r="B168" s="29">
        <v>280.34939600000001</v>
      </c>
      <c r="C168" s="29">
        <v>144.970901</v>
      </c>
      <c r="D168" s="29">
        <v>3585.1999510000001</v>
      </c>
      <c r="E168" s="29">
        <v>2550.9799800000001</v>
      </c>
      <c r="F168" s="29">
        <v>655.28997800000002</v>
      </c>
      <c r="G168" s="29">
        <v>2652.01001</v>
      </c>
      <c r="H168" s="29">
        <v>346.23001099999999</v>
      </c>
      <c r="I168" s="29">
        <v>194.042023</v>
      </c>
      <c r="J168" s="29">
        <v>279.88000499999998</v>
      </c>
      <c r="K168" s="29">
        <v>151.94439700000001</v>
      </c>
      <c r="L168" s="26">
        <v>4358.6899999999996</v>
      </c>
      <c r="N168" s="3">
        <f t="shared" si="69"/>
        <v>1.6704115584005495E-2</v>
      </c>
      <c r="O168" s="3">
        <f t="shared" si="70"/>
        <v>9.5824870448414576E-3</v>
      </c>
      <c r="P168" s="3">
        <f t="shared" si="71"/>
        <v>1.4628087488676446E-2</v>
      </c>
      <c r="Q168" s="3">
        <f t="shared" si="72"/>
        <v>6.8171995917365794E-3</v>
      </c>
      <c r="R168" s="3">
        <f t="shared" si="73"/>
        <v>-9.244583956154356E-3</v>
      </c>
      <c r="S168" s="3">
        <f t="shared" si="74"/>
        <v>5.4751810293066517E-3</v>
      </c>
      <c r="T168" s="3">
        <f t="shared" si="75"/>
        <v>1.4224067375187131E-2</v>
      </c>
      <c r="U168" s="3">
        <f t="shared" si="76"/>
        <v>9.4349823925127564E-3</v>
      </c>
      <c r="V168" s="3">
        <f t="shared" si="77"/>
        <v>-7.8195202176425688E-3</v>
      </c>
      <c r="W168" s="3">
        <f t="shared" si="78"/>
        <v>-1.2706332250190676E-2</v>
      </c>
      <c r="X168" s="3">
        <f t="shared" si="79"/>
        <v>2.0146302382427882E-3</v>
      </c>
      <c r="AK168" s="3"/>
      <c r="AL168" s="8"/>
      <c r="AW168" s="3"/>
      <c r="AY168" s="5"/>
      <c r="AZ168" s="28">
        <v>44396</v>
      </c>
      <c r="BA168" s="3">
        <f t="shared" si="88"/>
        <v>163</v>
      </c>
      <c r="BB168" s="3">
        <f t="shared" si="80"/>
        <v>1.3118183359522475</v>
      </c>
      <c r="BC168" s="3">
        <f t="shared" si="81"/>
        <v>1.3014734963151426</v>
      </c>
      <c r="BD168" s="3">
        <f t="shared" si="82"/>
        <v>2.2701419410519583</v>
      </c>
      <c r="BE168" s="3">
        <f t="shared" si="83"/>
        <v>1.4971404612353729</v>
      </c>
      <c r="BG168" s="3">
        <f t="shared" si="84"/>
        <v>1.2656300120164289E-2</v>
      </c>
      <c r="BH168" s="3">
        <f t="shared" si="85"/>
        <v>1.3151704127791292E-2</v>
      </c>
      <c r="BI168" s="3">
        <f t="shared" si="86"/>
        <v>1.23887058033038E-2</v>
      </c>
      <c r="BJ168" s="3">
        <f t="shared" si="87"/>
        <v>1.2732974114618104E-2</v>
      </c>
    </row>
    <row r="169" spans="1:62" ht="13.5" x14ac:dyDescent="0.2">
      <c r="A169" s="28">
        <v>44399</v>
      </c>
      <c r="B169" s="29">
        <v>285.07171599999998</v>
      </c>
      <c r="C169" s="29">
        <v>146.36676</v>
      </c>
      <c r="D169" s="29">
        <v>3638.030029</v>
      </c>
      <c r="E169" s="29">
        <v>2568.429932</v>
      </c>
      <c r="F169" s="29">
        <v>649.26000999999997</v>
      </c>
      <c r="G169" s="29">
        <v>2666.570068</v>
      </c>
      <c r="H169" s="29">
        <v>351.19000199999999</v>
      </c>
      <c r="I169" s="29">
        <v>195.88147000000001</v>
      </c>
      <c r="J169" s="29">
        <v>277.70001200000002</v>
      </c>
      <c r="K169" s="29">
        <v>150.02595500000001</v>
      </c>
      <c r="L169" s="26">
        <v>4367.4799999999996</v>
      </c>
      <c r="N169" s="3">
        <f t="shared" si="69"/>
        <v>1.2261121723799468E-2</v>
      </c>
      <c r="O169" s="3">
        <f t="shared" si="70"/>
        <v>1.1917909950360154E-2</v>
      </c>
      <c r="P169" s="3">
        <f t="shared" si="71"/>
        <v>5.1023293919283666E-3</v>
      </c>
      <c r="Q169" s="3">
        <f t="shared" si="72"/>
        <v>3.5144125990230826E-2</v>
      </c>
      <c r="R169" s="3">
        <f t="shared" si="73"/>
        <v>-9.097730982196052E-3</v>
      </c>
      <c r="S169" s="3">
        <f t="shared" si="74"/>
        <v>3.3103453530893827E-2</v>
      </c>
      <c r="T169" s="3">
        <f t="shared" si="75"/>
        <v>5.1607908035000462E-2</v>
      </c>
      <c r="U169" s="3">
        <f t="shared" si="76"/>
        <v>-1.8389948933978503E-3</v>
      </c>
      <c r="V169" s="3">
        <f t="shared" si="77"/>
        <v>2.8406786471657825E-3</v>
      </c>
      <c r="W169" s="3">
        <f t="shared" si="78"/>
        <v>-1.92320905538932E-3</v>
      </c>
      <c r="X169" s="3">
        <f t="shared" si="79"/>
        <v>1.0094319060166316E-2</v>
      </c>
      <c r="AK169" s="3"/>
      <c r="AL169" s="8"/>
      <c r="AW169" s="3"/>
      <c r="AY169" s="5"/>
      <c r="AZ169" s="28">
        <v>44397</v>
      </c>
      <c r="BA169" s="3">
        <f t="shared" si="88"/>
        <v>164</v>
      </c>
      <c r="BB169" s="3">
        <f t="shared" si="80"/>
        <v>1.3285266119633037</v>
      </c>
      <c r="BC169" s="3">
        <f t="shared" si="81"/>
        <v>1.3187031419230508</v>
      </c>
      <c r="BD169" s="3">
        <f t="shared" si="82"/>
        <v>2.2984409940685229</v>
      </c>
      <c r="BE169" s="3">
        <f t="shared" si="83"/>
        <v>1.5163253933949898</v>
      </c>
      <c r="BG169" s="3">
        <f t="shared" si="84"/>
        <v>1.1119397836220605E-2</v>
      </c>
      <c r="BH169" s="3">
        <f t="shared" si="85"/>
        <v>1.0829378452649306E-2</v>
      </c>
      <c r="BI169" s="3">
        <f t="shared" si="86"/>
        <v>7.8428485447238523E-3</v>
      </c>
      <c r="BJ169" s="3">
        <f t="shared" si="87"/>
        <v>2.7796053836390416E-3</v>
      </c>
    </row>
    <row r="170" spans="1:62" ht="13.5" x14ac:dyDescent="0.2">
      <c r="A170" s="28">
        <v>44400</v>
      </c>
      <c r="B170" s="29">
        <v>288.58853099999999</v>
      </c>
      <c r="C170" s="29">
        <v>148.12158199999999</v>
      </c>
      <c r="D170" s="29">
        <v>3656.639893</v>
      </c>
      <c r="E170" s="29">
        <v>2660.3000489999999</v>
      </c>
      <c r="F170" s="29">
        <v>643.38000499999998</v>
      </c>
      <c r="G170" s="29">
        <v>2756.320068</v>
      </c>
      <c r="H170" s="29">
        <v>369.790009</v>
      </c>
      <c r="I170" s="29">
        <v>195.52157600000001</v>
      </c>
      <c r="J170" s="29">
        <v>278.48998999999998</v>
      </c>
      <c r="K170" s="29">
        <v>149.73770099999999</v>
      </c>
      <c r="L170" s="26">
        <v>4411.79</v>
      </c>
      <c r="N170" s="3">
        <f t="shared" si="69"/>
        <v>-2.1427325041607406E-3</v>
      </c>
      <c r="O170" s="3">
        <f t="shared" si="70"/>
        <v>2.8903397406467701E-3</v>
      </c>
      <c r="P170" s="3">
        <f t="shared" si="71"/>
        <v>1.1739524483043039E-2</v>
      </c>
      <c r="Q170" s="3">
        <f t="shared" si="72"/>
        <v>7.6390193605226373E-3</v>
      </c>
      <c r="R170" s="3">
        <f t="shared" si="73"/>
        <v>2.1891712070048027E-2</v>
      </c>
      <c r="S170" s="3">
        <f t="shared" si="74"/>
        <v>1.3180382314672879E-2</v>
      </c>
      <c r="T170" s="3">
        <f t="shared" si="75"/>
        <v>7.1943240582926166E-3</v>
      </c>
      <c r="U170" s="3">
        <f t="shared" si="76"/>
        <v>-1.3590215277182939E-2</v>
      </c>
      <c r="V170" s="3">
        <f t="shared" si="77"/>
        <v>1.1125196727427701E-3</v>
      </c>
      <c r="W170" s="3">
        <f t="shared" si="78"/>
        <v>6.682261343089556E-3</v>
      </c>
      <c r="X170" s="3">
        <f t="shared" si="79"/>
        <v>2.3794199422129485E-3</v>
      </c>
      <c r="AK170" s="3"/>
      <c r="AL170" s="8"/>
      <c r="AW170" s="3"/>
      <c r="AY170" s="5"/>
      <c r="AZ170" s="28">
        <v>44398</v>
      </c>
      <c r="BA170" s="3">
        <f t="shared" si="88"/>
        <v>165</v>
      </c>
      <c r="BB170" s="3">
        <f t="shared" si="80"/>
        <v>1.3433814633434586</v>
      </c>
      <c r="BC170" s="3">
        <f t="shared" si="81"/>
        <v>1.3330614829449527</v>
      </c>
      <c r="BD170" s="3">
        <f t="shared" si="82"/>
        <v>2.3165381927044382</v>
      </c>
      <c r="BE170" s="3">
        <f t="shared" si="83"/>
        <v>1.5205460427742206</v>
      </c>
      <c r="BG170" s="3">
        <f t="shared" si="84"/>
        <v>4.7107677077965699E-3</v>
      </c>
      <c r="BH170" s="3">
        <f t="shared" si="85"/>
        <v>4.512215587487765E-3</v>
      </c>
      <c r="BI170" s="3">
        <f t="shared" si="86"/>
        <v>5.7579167323012995E-3</v>
      </c>
      <c r="BJ170" s="3">
        <f t="shared" si="87"/>
        <v>5.9825112591196869E-3</v>
      </c>
    </row>
    <row r="171" spans="1:62" ht="13.5" x14ac:dyDescent="0.2">
      <c r="A171" s="28">
        <v>44403</v>
      </c>
      <c r="B171" s="29">
        <v>287.97082499999999</v>
      </c>
      <c r="C171" s="29">
        <v>148.55032299999999</v>
      </c>
      <c r="D171" s="29">
        <v>3699.820068</v>
      </c>
      <c r="E171" s="29">
        <v>2680.6999510000001</v>
      </c>
      <c r="F171" s="29">
        <v>657.61999500000002</v>
      </c>
      <c r="G171" s="29">
        <v>2792.889893</v>
      </c>
      <c r="H171" s="29">
        <v>372.459991</v>
      </c>
      <c r="I171" s="29">
        <v>192.88237000000001</v>
      </c>
      <c r="J171" s="29">
        <v>278.79998799999998</v>
      </c>
      <c r="K171" s="29">
        <v>150.74163799999999</v>
      </c>
      <c r="L171" s="26">
        <v>4422.3</v>
      </c>
      <c r="N171" s="3">
        <f t="shared" si="69"/>
        <v>-8.7214750117622936E-3</v>
      </c>
      <c r="O171" s="3">
        <f t="shared" si="70"/>
        <v>-1.5012599748715659E-2</v>
      </c>
      <c r="P171" s="3">
        <f t="shared" si="71"/>
        <v>-2.0046554618348582E-2</v>
      </c>
      <c r="Q171" s="3">
        <f t="shared" si="72"/>
        <v>-1.6056881873463241E-2</v>
      </c>
      <c r="R171" s="3">
        <f t="shared" si="73"/>
        <v>-1.9718030983391231E-2</v>
      </c>
      <c r="S171" s="3">
        <f t="shared" si="74"/>
        <v>-2.0605473917921144E-2</v>
      </c>
      <c r="T171" s="3">
        <f t="shared" si="75"/>
        <v>-1.2563130287160836E-2</v>
      </c>
      <c r="U171" s="3">
        <f t="shared" si="76"/>
        <v>-4.4672967721153508E-3</v>
      </c>
      <c r="V171" s="3">
        <f t="shared" si="77"/>
        <v>7.0768051375369699E-3</v>
      </c>
      <c r="W171" s="3">
        <f t="shared" si="78"/>
        <v>-1.3196234040924986E-3</v>
      </c>
      <c r="X171" s="3">
        <f t="shared" si="79"/>
        <v>-4.7236186726493743E-3</v>
      </c>
      <c r="AK171" s="3"/>
      <c r="AL171" s="8"/>
      <c r="AW171" s="3"/>
      <c r="AY171" s="5"/>
      <c r="AZ171" s="28">
        <v>44399</v>
      </c>
      <c r="BA171" s="3">
        <f t="shared" si="88"/>
        <v>166</v>
      </c>
      <c r="BB171" s="3">
        <f t="shared" si="80"/>
        <v>1.3497247505058974</v>
      </c>
      <c r="BC171" s="3">
        <f t="shared" si="81"/>
        <v>1.3390901348071744</v>
      </c>
      <c r="BD171" s="3">
        <f t="shared" si="82"/>
        <v>2.3299151013305197</v>
      </c>
      <c r="BE171" s="3">
        <f t="shared" si="83"/>
        <v>1.5296699914454579</v>
      </c>
      <c r="BG171" s="3">
        <f t="shared" si="84"/>
        <v>1.4521891719425237E-2</v>
      </c>
      <c r="BH171" s="3">
        <f t="shared" si="85"/>
        <v>1.5218400723531209E-2</v>
      </c>
      <c r="BI171" s="3">
        <f t="shared" si="86"/>
        <v>7.7240008165589923E-3</v>
      </c>
      <c r="BJ171" s="3">
        <f t="shared" si="87"/>
        <v>-2.308789311884803E-3</v>
      </c>
    </row>
    <row r="172" spans="1:62" ht="13.5" x14ac:dyDescent="0.2">
      <c r="A172" s="28">
        <v>44404</v>
      </c>
      <c r="B172" s="29">
        <v>285.470215</v>
      </c>
      <c r="C172" s="29">
        <v>146.33685299999999</v>
      </c>
      <c r="D172" s="29">
        <v>3626.389893</v>
      </c>
      <c r="E172" s="29">
        <v>2638</v>
      </c>
      <c r="F172" s="29">
        <v>644.78002900000001</v>
      </c>
      <c r="G172" s="29">
        <v>2735.929932</v>
      </c>
      <c r="H172" s="29">
        <v>367.80999800000001</v>
      </c>
      <c r="I172" s="29">
        <v>192.02262899999999</v>
      </c>
      <c r="J172" s="29">
        <v>280.77999899999998</v>
      </c>
      <c r="K172" s="29">
        <v>150.54284699999999</v>
      </c>
      <c r="L172" s="26">
        <v>4401.46</v>
      </c>
      <c r="N172" s="3">
        <f t="shared" si="69"/>
        <v>-1.1174376361194908E-3</v>
      </c>
      <c r="O172" s="3">
        <f t="shared" si="70"/>
        <v>-1.2270910508863248E-2</v>
      </c>
      <c r="P172" s="3">
        <f t="shared" si="71"/>
        <v>1.0831838134334891E-3</v>
      </c>
      <c r="Q172" s="3">
        <f t="shared" si="72"/>
        <v>3.1301720745925063E-2</v>
      </c>
      <c r="R172" s="3">
        <f t="shared" si="73"/>
        <v>3.4061328909557498E-3</v>
      </c>
      <c r="S172" s="3">
        <f t="shared" si="74"/>
        <v>-3.0383323935961491E-3</v>
      </c>
      <c r="T172" s="3">
        <f t="shared" si="75"/>
        <v>1.476231054163548E-2</v>
      </c>
      <c r="U172" s="3">
        <f t="shared" si="76"/>
        <v>1.5241323592319354E-2</v>
      </c>
      <c r="V172" s="3">
        <f t="shared" si="77"/>
        <v>-9.5906581674057925E-3</v>
      </c>
      <c r="W172" s="3">
        <f t="shared" si="78"/>
        <v>1.649358472983605E-3</v>
      </c>
      <c r="X172" s="3">
        <f t="shared" si="79"/>
        <v>-1.8631917437244311E-4</v>
      </c>
      <c r="AK172" s="3"/>
      <c r="AL172" s="8"/>
      <c r="AW172" s="3"/>
      <c r="AY172" s="5"/>
      <c r="AZ172" s="28">
        <v>44400</v>
      </c>
      <c r="BA172" s="3">
        <f t="shared" si="88"/>
        <v>167</v>
      </c>
      <c r="BB172" s="3">
        <f t="shared" si="80"/>
        <v>1.3694683171846609</v>
      </c>
      <c r="BC172" s="3">
        <f t="shared" si="81"/>
        <v>1.3596248011571639</v>
      </c>
      <c r="BD172" s="3">
        <f t="shared" si="82"/>
        <v>2.3479810483524233</v>
      </c>
      <c r="BE172" s="3">
        <f t="shared" si="83"/>
        <v>1.5261423795418243</v>
      </c>
      <c r="BG172" s="3">
        <f t="shared" si="84"/>
        <v>5.5727566509817085E-3</v>
      </c>
      <c r="BH172" s="3">
        <f t="shared" si="85"/>
        <v>5.1403851716937572E-3</v>
      </c>
      <c r="BI172" s="3">
        <f t="shared" si="86"/>
        <v>6.3321061563801065E-3</v>
      </c>
      <c r="BJ172" s="3">
        <f t="shared" si="87"/>
        <v>8.279192164009198E-3</v>
      </c>
    </row>
    <row r="173" spans="1:62" ht="13.5" x14ac:dyDescent="0.2">
      <c r="A173" s="28">
        <v>44405</v>
      </c>
      <c r="B173" s="29">
        <v>285.15139799999997</v>
      </c>
      <c r="C173" s="29">
        <v>144.55213900000001</v>
      </c>
      <c r="D173" s="29">
        <v>3630.320068</v>
      </c>
      <c r="E173" s="29">
        <v>2721.8798830000001</v>
      </c>
      <c r="F173" s="29">
        <v>646.97997999999995</v>
      </c>
      <c r="G173" s="29">
        <v>2727.6298830000001</v>
      </c>
      <c r="H173" s="29">
        <v>373.27999899999998</v>
      </c>
      <c r="I173" s="29">
        <v>194.97172499999999</v>
      </c>
      <c r="J173" s="29">
        <v>278.10000600000001</v>
      </c>
      <c r="K173" s="29">
        <v>150.79135099999999</v>
      </c>
      <c r="L173" s="26">
        <v>4400.6400000000003</v>
      </c>
      <c r="N173" s="3">
        <f t="shared" si="69"/>
        <v>9.7791772745030726E-4</v>
      </c>
      <c r="O173" s="3">
        <f t="shared" si="70"/>
        <v>4.5420129908775768E-3</v>
      </c>
      <c r="P173" s="3">
        <f t="shared" si="71"/>
        <v>-8.4092160667270724E-3</v>
      </c>
      <c r="Q173" s="3">
        <f t="shared" si="72"/>
        <v>-2.3282458582527779E-3</v>
      </c>
      <c r="R173" s="3">
        <f t="shared" si="73"/>
        <v>4.5872739385366838E-2</v>
      </c>
      <c r="S173" s="3">
        <f t="shared" si="74"/>
        <v>1.1652327015117252E-3</v>
      </c>
      <c r="T173" s="3">
        <f t="shared" si="75"/>
        <v>-4.0902344159510669E-2</v>
      </c>
      <c r="U173" s="3">
        <f t="shared" si="76"/>
        <v>8.1196107484475949E-3</v>
      </c>
      <c r="V173" s="3">
        <f t="shared" si="77"/>
        <v>5.9513456851521609E-3</v>
      </c>
      <c r="W173" s="3">
        <f t="shared" si="78"/>
        <v>8.5329870948019273E-3</v>
      </c>
      <c r="X173" s="3">
        <f t="shared" si="79"/>
        <v>4.1973850116203163E-3</v>
      </c>
      <c r="AK173" s="3"/>
      <c r="AL173" s="8"/>
      <c r="AW173" s="3"/>
      <c r="AY173" s="5"/>
      <c r="AZ173" s="28">
        <v>44403</v>
      </c>
      <c r="BA173" s="3">
        <f t="shared" si="88"/>
        <v>168</v>
      </c>
      <c r="BB173" s="3">
        <f t="shared" si="80"/>
        <v>1.3771213352554814</v>
      </c>
      <c r="BC173" s="3">
        <f t="shared" si="81"/>
        <v>1.3666317902062763</v>
      </c>
      <c r="BD173" s="3">
        <f t="shared" si="82"/>
        <v>2.3628958849331556</v>
      </c>
      <c r="BE173" s="3">
        <f t="shared" si="83"/>
        <v>1.5388300549500984</v>
      </c>
      <c r="BG173" s="3">
        <f t="shared" si="84"/>
        <v>-1.1322291702359575E-2</v>
      </c>
      <c r="BH173" s="3">
        <f t="shared" si="85"/>
        <v>-9.9885325620266002E-3</v>
      </c>
      <c r="BI173" s="3">
        <f t="shared" si="86"/>
        <v>-1.4848007181146379E-2</v>
      </c>
      <c r="BJ173" s="3">
        <f t="shared" si="87"/>
        <v>-1.933036681125172E-2</v>
      </c>
    </row>
    <row r="174" spans="1:62" ht="13.5" x14ac:dyDescent="0.2">
      <c r="A174" s="28">
        <v>44406</v>
      </c>
      <c r="B174" s="29">
        <v>285.43038899999999</v>
      </c>
      <c r="C174" s="29">
        <v>145.21019000000001</v>
      </c>
      <c r="D174" s="29">
        <v>3599.919922</v>
      </c>
      <c r="E174" s="29">
        <v>2715.5500489999999</v>
      </c>
      <c r="F174" s="29">
        <v>677.34997599999997</v>
      </c>
      <c r="G174" s="29">
        <v>2730.8100589999999</v>
      </c>
      <c r="H174" s="29">
        <v>358.32000699999998</v>
      </c>
      <c r="I174" s="29">
        <v>196.56126399999999</v>
      </c>
      <c r="J174" s="29">
        <v>279.76001000000002</v>
      </c>
      <c r="K174" s="29">
        <v>152.08355700000001</v>
      </c>
      <c r="L174" s="26">
        <v>4419.1499999999996</v>
      </c>
      <c r="N174" s="3">
        <f t="shared" si="69"/>
        <v>-5.5652377232925628E-3</v>
      </c>
      <c r="O174" s="3">
        <f t="shared" si="70"/>
        <v>1.509394778321794E-3</v>
      </c>
      <c r="P174" s="3">
        <f t="shared" si="71"/>
        <v>-7.8663256626021541E-2</v>
      </c>
      <c r="Q174" s="3">
        <f t="shared" si="72"/>
        <v>-7.7707262997603341E-3</v>
      </c>
      <c r="R174" s="3">
        <f t="shared" si="73"/>
        <v>1.4437297537665063E-2</v>
      </c>
      <c r="S174" s="3">
        <f t="shared" si="74"/>
        <v>-9.7108473700816197E-3</v>
      </c>
      <c r="T174" s="3">
        <f t="shared" si="75"/>
        <v>-5.6534225023488795E-3</v>
      </c>
      <c r="U174" s="3">
        <f t="shared" si="76"/>
        <v>-8.3245948092207662E-3</v>
      </c>
      <c r="V174" s="3">
        <f t="shared" si="77"/>
        <v>-5.2683607204206473E-3</v>
      </c>
      <c r="W174" s="3">
        <f t="shared" si="78"/>
        <v>-8.0058146640225435E-3</v>
      </c>
      <c r="X174" s="3">
        <f t="shared" si="79"/>
        <v>-5.4206823821932627E-3</v>
      </c>
      <c r="AK174" s="3"/>
      <c r="AL174" s="8"/>
      <c r="AW174" s="3"/>
      <c r="AY174" s="5"/>
      <c r="AZ174" s="28">
        <v>44404</v>
      </c>
      <c r="BA174" s="3">
        <f t="shared" si="88"/>
        <v>169</v>
      </c>
      <c r="BB174" s="3">
        <f t="shared" si="80"/>
        <v>1.3616171031366588</v>
      </c>
      <c r="BC174" s="3">
        <f t="shared" si="81"/>
        <v>1.3530490926076322</v>
      </c>
      <c r="BD174" s="3">
        <f t="shared" si="82"/>
        <v>2.3280707714356672</v>
      </c>
      <c r="BE174" s="3">
        <f t="shared" si="83"/>
        <v>1.5093695639291127</v>
      </c>
      <c r="BG174" s="3">
        <f t="shared" si="84"/>
        <v>4.8158923442967469E-3</v>
      </c>
      <c r="BH174" s="3">
        <f t="shared" si="85"/>
        <v>3.3236549943649334E-3</v>
      </c>
      <c r="BI174" s="3">
        <f t="shared" si="86"/>
        <v>4.5347102958308181E-3</v>
      </c>
      <c r="BJ174" s="3">
        <f t="shared" si="87"/>
        <v>3.6571389131237323E-3</v>
      </c>
    </row>
    <row r="175" spans="1:62" ht="13.5" x14ac:dyDescent="0.2">
      <c r="A175" s="28">
        <v>44407</v>
      </c>
      <c r="B175" s="29">
        <v>283.84631300000001</v>
      </c>
      <c r="C175" s="29">
        <v>145.42953499999999</v>
      </c>
      <c r="D175" s="29">
        <v>3327.5900879999999</v>
      </c>
      <c r="E175" s="29">
        <v>2694.530029</v>
      </c>
      <c r="F175" s="29">
        <v>687.20001200000002</v>
      </c>
      <c r="G175" s="29">
        <v>2704.419922</v>
      </c>
      <c r="H175" s="29">
        <v>356.29998799999998</v>
      </c>
      <c r="I175" s="29">
        <v>194.93176299999999</v>
      </c>
      <c r="J175" s="29">
        <v>278.290009</v>
      </c>
      <c r="K175" s="29">
        <v>150.87086500000001</v>
      </c>
      <c r="L175" s="26">
        <v>4395.26</v>
      </c>
      <c r="N175" s="3">
        <f t="shared" si="69"/>
        <v>-3.1592506070773099E-4</v>
      </c>
      <c r="O175" s="3">
        <f t="shared" si="70"/>
        <v>-2.3336710679567364E-3</v>
      </c>
      <c r="P175" s="3">
        <f t="shared" si="71"/>
        <v>1.168298997526125E-3</v>
      </c>
      <c r="Q175" s="3">
        <f t="shared" si="72"/>
        <v>9.4964375710425008E-4</v>
      </c>
      <c r="R175" s="3">
        <f t="shared" si="73"/>
        <v>3.2174661168195957E-2</v>
      </c>
      <c r="S175" s="3">
        <f t="shared" si="74"/>
        <v>5.6672430632851555E-3</v>
      </c>
      <c r="T175" s="3">
        <f t="shared" si="75"/>
        <v>-1.2283884782413849E-2</v>
      </c>
      <c r="U175" s="3">
        <f t="shared" si="76"/>
        <v>1.2790292192601685E-2</v>
      </c>
      <c r="V175" s="3">
        <f t="shared" si="77"/>
        <v>-5.3912979948443998E-4</v>
      </c>
      <c r="W175" s="3">
        <f t="shared" si="78"/>
        <v>-4.027024637650551E-3</v>
      </c>
      <c r="X175" s="3">
        <f t="shared" si="79"/>
        <v>-1.8445946098472469E-3</v>
      </c>
      <c r="AK175" s="3"/>
      <c r="AL175" s="8"/>
      <c r="AW175" s="3"/>
      <c r="AY175" s="5"/>
      <c r="AZ175" s="28">
        <v>44405</v>
      </c>
      <c r="BA175" s="3">
        <f t="shared" si="88"/>
        <v>170</v>
      </c>
      <c r="BB175" s="3">
        <f t="shared" si="80"/>
        <v>1.3681903197670615</v>
      </c>
      <c r="BC175" s="3">
        <f t="shared" si="81"/>
        <v>1.3575536426202781</v>
      </c>
      <c r="BD175" s="3">
        <f t="shared" si="82"/>
        <v>2.3386518709105681</v>
      </c>
      <c r="BE175" s="3">
        <f t="shared" si="83"/>
        <v>1.5148996440676967</v>
      </c>
      <c r="BG175" s="3">
        <f t="shared" si="84"/>
        <v>2.4050482957712282E-3</v>
      </c>
      <c r="BH175" s="3">
        <f t="shared" si="85"/>
        <v>5.8607236750890317E-4</v>
      </c>
      <c r="BI175" s="3">
        <f t="shared" si="86"/>
        <v>1.2883283192562519E-2</v>
      </c>
      <c r="BJ175" s="3">
        <f t="shared" si="87"/>
        <v>2.7442392876047175E-2</v>
      </c>
    </row>
    <row r="176" spans="1:62" ht="13.5" x14ac:dyDescent="0.2">
      <c r="A176" s="28">
        <v>44410</v>
      </c>
      <c r="B176" s="29">
        <v>283.75665300000003</v>
      </c>
      <c r="C176" s="29">
        <v>145.09054599999999</v>
      </c>
      <c r="D176" s="29">
        <v>3331.4799800000001</v>
      </c>
      <c r="E176" s="29">
        <v>2697.0900879999999</v>
      </c>
      <c r="F176" s="29">
        <v>709.669983</v>
      </c>
      <c r="G176" s="29">
        <v>2719.790039</v>
      </c>
      <c r="H176" s="29">
        <v>351.95001200000002</v>
      </c>
      <c r="I176" s="29">
        <v>197.44101000000001</v>
      </c>
      <c r="J176" s="29">
        <v>278.14001500000001</v>
      </c>
      <c r="K176" s="29">
        <v>150.26452599999999</v>
      </c>
      <c r="L176" s="26">
        <v>4387.16</v>
      </c>
      <c r="N176" s="3">
        <f t="shared" si="69"/>
        <v>8.0428409232279879E-3</v>
      </c>
      <c r="O176" s="3">
        <f t="shared" si="70"/>
        <v>1.2564998477747285E-2</v>
      </c>
      <c r="P176" s="3">
        <f t="shared" si="71"/>
        <v>1.0379747806618357E-2</v>
      </c>
      <c r="Q176" s="3">
        <f t="shared" si="72"/>
        <v>5.7341740340379997E-3</v>
      </c>
      <c r="R176" s="3">
        <f t="shared" si="73"/>
        <v>9.8642395627021874E-5</v>
      </c>
      <c r="S176" s="3">
        <f t="shared" si="74"/>
        <v>2.133937535637257E-3</v>
      </c>
      <c r="T176" s="3">
        <f t="shared" si="75"/>
        <v>-2.0194321286594432E-3</v>
      </c>
      <c r="U176" s="3">
        <f t="shared" si="76"/>
        <v>3.2856047708017676E-3</v>
      </c>
      <c r="V176" s="3">
        <f t="shared" si="77"/>
        <v>1.3072918901047436E-2</v>
      </c>
      <c r="W176" s="3">
        <f t="shared" si="78"/>
        <v>1.1313706228256309E-2</v>
      </c>
      <c r="X176" s="3">
        <f t="shared" si="79"/>
        <v>8.170019032652822E-3</v>
      </c>
      <c r="AK176" s="3"/>
      <c r="AL176" s="8"/>
      <c r="AW176" s="3"/>
      <c r="AY176" s="5"/>
      <c r="AZ176" s="28">
        <v>44406</v>
      </c>
      <c r="BA176" s="3">
        <f t="shared" si="88"/>
        <v>171</v>
      </c>
      <c r="BB176" s="3">
        <f t="shared" si="80"/>
        <v>1.3714848437204867</v>
      </c>
      <c r="BC176" s="3">
        <f t="shared" si="81"/>
        <v>1.3583495004900017</v>
      </c>
      <c r="BD176" s="3">
        <f t="shared" si="82"/>
        <v>2.3689763049543044</v>
      </c>
      <c r="BE176" s="3">
        <f t="shared" si="83"/>
        <v>1.5570477932408364</v>
      </c>
      <c r="BG176" s="3">
        <f t="shared" si="84"/>
        <v>-1.0112543806536931E-2</v>
      </c>
      <c r="BH176" s="3">
        <f t="shared" si="85"/>
        <v>-1.141639170238778E-2</v>
      </c>
      <c r="BI176" s="3">
        <f t="shared" si="86"/>
        <v>-6.7545999652099918E-3</v>
      </c>
      <c r="BJ176" s="3">
        <f t="shared" si="87"/>
        <v>-2.7697542935420055E-3</v>
      </c>
    </row>
    <row r="177" spans="1:62" ht="13.5" x14ac:dyDescent="0.2">
      <c r="A177" s="28">
        <v>44411</v>
      </c>
      <c r="B177" s="29">
        <v>286.04806500000001</v>
      </c>
      <c r="C177" s="29">
        <v>146.92510999999999</v>
      </c>
      <c r="D177" s="29">
        <v>3366.23999</v>
      </c>
      <c r="E177" s="29">
        <v>2712.6000979999999</v>
      </c>
      <c r="F177" s="29">
        <v>709.73999000000003</v>
      </c>
      <c r="G177" s="29">
        <v>2725.6000979999999</v>
      </c>
      <c r="H177" s="29">
        <v>351.23998999999998</v>
      </c>
      <c r="I177" s="29">
        <v>198.09079</v>
      </c>
      <c r="J177" s="29">
        <v>281.79998799999998</v>
      </c>
      <c r="K177" s="29">
        <v>151.97422800000001</v>
      </c>
      <c r="L177" s="26">
        <v>4423.1499999999996</v>
      </c>
      <c r="N177" s="3">
        <f t="shared" si="69"/>
        <v>-2.1268226122915768E-3</v>
      </c>
      <c r="O177" s="3">
        <f t="shared" si="70"/>
        <v>-2.7861318334023405E-3</v>
      </c>
      <c r="P177" s="3">
        <f t="shared" si="71"/>
        <v>-3.4280907336446671E-3</v>
      </c>
      <c r="Q177" s="3">
        <f t="shared" si="72"/>
        <v>-3.7266461720121542E-3</v>
      </c>
      <c r="R177" s="3">
        <f t="shared" si="73"/>
        <v>1.6611902830803802E-3</v>
      </c>
      <c r="S177" s="3">
        <f t="shared" si="74"/>
        <v>-1.8471811481909986E-3</v>
      </c>
      <c r="T177" s="3">
        <f t="shared" si="75"/>
        <v>2.1629836628393854E-2</v>
      </c>
      <c r="U177" s="3">
        <f t="shared" si="76"/>
        <v>2.2900171476609815E-2</v>
      </c>
      <c r="V177" s="3">
        <f t="shared" si="77"/>
        <v>-1.0774620166504115E-2</v>
      </c>
      <c r="W177" s="3">
        <f t="shared" si="78"/>
        <v>-1.0850763328085895E-2</v>
      </c>
      <c r="X177" s="3">
        <f t="shared" si="79"/>
        <v>-4.6432082296428796E-3</v>
      </c>
      <c r="AK177" s="3"/>
      <c r="AL177" s="8"/>
      <c r="AW177" s="3"/>
      <c r="AY177" s="5"/>
      <c r="AZ177" s="28">
        <v>44407</v>
      </c>
      <c r="BA177" s="3">
        <f t="shared" si="88"/>
        <v>172</v>
      </c>
      <c r="BB177" s="3">
        <f t="shared" si="80"/>
        <v>1.3576855338182969</v>
      </c>
      <c r="BC177" s="3">
        <f t="shared" si="81"/>
        <v>1.3429302341864642</v>
      </c>
      <c r="BD177" s="3">
        <f t="shared" si="82"/>
        <v>2.3530287380381734</v>
      </c>
      <c r="BE177" s="3">
        <f t="shared" si="83"/>
        <v>1.5527411203962922</v>
      </c>
      <c r="BG177" s="3">
        <f t="shared" si="84"/>
        <v>3.7558747220610457E-3</v>
      </c>
      <c r="BH177" s="3">
        <f t="shared" si="85"/>
        <v>1.4879575302421313E-3</v>
      </c>
      <c r="BI177" s="3">
        <f t="shared" si="86"/>
        <v>1.1057425988266638E-2</v>
      </c>
      <c r="BJ177" s="3">
        <f t="shared" si="87"/>
        <v>2.0811149714054903E-2</v>
      </c>
    </row>
    <row r="178" spans="1:62" ht="13.5" x14ac:dyDescent="0.2">
      <c r="A178" s="28">
        <v>44412</v>
      </c>
      <c r="B178" s="29">
        <v>285.440338</v>
      </c>
      <c r="C178" s="29">
        <v>146.51632699999999</v>
      </c>
      <c r="D178" s="29">
        <v>3354.719971</v>
      </c>
      <c r="E178" s="29">
        <v>2702.51001</v>
      </c>
      <c r="F178" s="29">
        <v>710.919983</v>
      </c>
      <c r="G178" s="29">
        <v>2720.570068</v>
      </c>
      <c r="H178" s="29">
        <v>358.92001299999998</v>
      </c>
      <c r="I178" s="29">
        <v>202.67944299999999</v>
      </c>
      <c r="J178" s="29">
        <v>278.77999899999998</v>
      </c>
      <c r="K178" s="29">
        <v>150.33410599999999</v>
      </c>
      <c r="L178" s="26">
        <v>4402.66</v>
      </c>
      <c r="N178" s="3">
        <f t="shared" si="69"/>
        <v>1.0450893212825033E-2</v>
      </c>
      <c r="O178" s="3">
        <f t="shared" si="70"/>
        <v>7.4830546391197069E-4</v>
      </c>
      <c r="P178" s="3">
        <f t="shared" si="71"/>
        <v>6.320310911666769E-3</v>
      </c>
      <c r="Q178" s="3">
        <f t="shared" si="72"/>
        <v>8.2984733688385888E-3</v>
      </c>
      <c r="R178" s="3">
        <f t="shared" si="73"/>
        <v>5.2050512537508272E-3</v>
      </c>
      <c r="S178" s="3">
        <f t="shared" si="74"/>
        <v>6.6784439840037292E-3</v>
      </c>
      <c r="T178" s="3">
        <f t="shared" si="75"/>
        <v>1.1220630326918248E-2</v>
      </c>
      <c r="U178" s="3">
        <f t="shared" si="76"/>
        <v>1.7746184311178342E-2</v>
      </c>
      <c r="V178" s="3">
        <f t="shared" si="77"/>
        <v>5.1163532263445357E-3</v>
      </c>
      <c r="W178" s="3">
        <f t="shared" si="78"/>
        <v>1.2549758847272245E-2</v>
      </c>
      <c r="X178" s="3">
        <f t="shared" si="79"/>
        <v>5.9874994315475697E-3</v>
      </c>
      <c r="AK178" s="3"/>
      <c r="AL178" s="8"/>
      <c r="AW178" s="3"/>
      <c r="AY178" s="5"/>
      <c r="AZ178" s="28">
        <v>44410</v>
      </c>
      <c r="BA178" s="3">
        <f t="shared" si="88"/>
        <v>173</v>
      </c>
      <c r="BB178" s="3">
        <f t="shared" si="80"/>
        <v>1.3627944187554235</v>
      </c>
      <c r="BC178" s="3">
        <f t="shared" si="81"/>
        <v>1.3449299447142313</v>
      </c>
      <c r="BD178" s="3">
        <f t="shared" si="82"/>
        <v>2.3791915593177242</v>
      </c>
      <c r="BE178" s="3">
        <f t="shared" si="83"/>
        <v>1.5853940422419759</v>
      </c>
      <c r="BG178" s="3">
        <f t="shared" si="84"/>
        <v>6.1519538511882839E-3</v>
      </c>
      <c r="BH178" s="3">
        <f t="shared" si="85"/>
        <v>7.2367241234185514E-3</v>
      </c>
      <c r="BI178" s="3">
        <f t="shared" si="86"/>
        <v>5.124598726570324E-3</v>
      </c>
      <c r="BJ178" s="3">
        <f t="shared" si="87"/>
        <v>3.8342917904248173E-3</v>
      </c>
    </row>
    <row r="179" spans="1:62" ht="13.5" x14ac:dyDescent="0.2">
      <c r="A179" s="28">
        <v>44413</v>
      </c>
      <c r="B179" s="29">
        <v>288.43908699999997</v>
      </c>
      <c r="C179" s="29">
        <v>146.62600699999999</v>
      </c>
      <c r="D179" s="29">
        <v>3375.98999</v>
      </c>
      <c r="E179" s="29">
        <v>2725.030029</v>
      </c>
      <c r="F179" s="29">
        <v>714.63000499999998</v>
      </c>
      <c r="G179" s="29">
        <v>2738.8000489999999</v>
      </c>
      <c r="H179" s="29">
        <v>362.97000100000002</v>
      </c>
      <c r="I179" s="29">
        <v>206.308334</v>
      </c>
      <c r="J179" s="29">
        <v>280.209991</v>
      </c>
      <c r="K179" s="29">
        <v>152.232651</v>
      </c>
      <c r="L179" s="26">
        <v>4429.1000000000004</v>
      </c>
      <c r="N179" s="3">
        <f t="shared" si="69"/>
        <v>-2.0718478516602517E-4</v>
      </c>
      <c r="O179" s="3">
        <f t="shared" si="70"/>
        <v>-4.7785616469914628E-3</v>
      </c>
      <c r="P179" s="3">
        <f t="shared" si="71"/>
        <v>-9.2398731209171522E-3</v>
      </c>
      <c r="Q179" s="3">
        <f t="shared" si="72"/>
        <v>-3.7722052552811615E-3</v>
      </c>
      <c r="R179" s="3">
        <f t="shared" si="73"/>
        <v>-2.1971174044778781E-2</v>
      </c>
      <c r="S179" s="3">
        <f t="shared" si="74"/>
        <v>7.0076286665997258E-4</v>
      </c>
      <c r="T179" s="3">
        <f t="shared" si="75"/>
        <v>1.4866454445553502E-3</v>
      </c>
      <c r="U179" s="3">
        <f t="shared" si="76"/>
        <v>-1.3218623428250099E-2</v>
      </c>
      <c r="V179" s="3">
        <f t="shared" si="77"/>
        <v>1.9157994529846595E-2</v>
      </c>
      <c r="W179" s="3">
        <f t="shared" si="78"/>
        <v>2.8007720454810883E-2</v>
      </c>
      <c r="X179" s="3">
        <f t="shared" si="79"/>
        <v>1.6738821949274498E-3</v>
      </c>
      <c r="AK179" s="3"/>
      <c r="AL179" s="8"/>
      <c r="AW179" s="3"/>
      <c r="AY179" s="5"/>
      <c r="AZ179" s="28">
        <v>44411</v>
      </c>
      <c r="BA179" s="3">
        <f t="shared" si="88"/>
        <v>174</v>
      </c>
      <c r="BB179" s="3">
        <f t="shared" si="80"/>
        <v>1.3712041086171105</v>
      </c>
      <c r="BC179" s="3">
        <f t="shared" si="81"/>
        <v>1.3546981339045188</v>
      </c>
      <c r="BD179" s="3">
        <f t="shared" si="82"/>
        <v>2.3914152553704335</v>
      </c>
      <c r="BE179" s="3">
        <f t="shared" si="83"/>
        <v>1.5914845745799937</v>
      </c>
      <c r="BG179" s="3">
        <f t="shared" si="84"/>
        <v>1.3975434289280849E-3</v>
      </c>
      <c r="BH179" s="3">
        <f t="shared" si="85"/>
        <v>-8.4836568206662021E-4</v>
      </c>
      <c r="BI179" s="3">
        <f t="shared" si="86"/>
        <v>3.2723064713330663E-3</v>
      </c>
      <c r="BJ179" s="3">
        <f t="shared" si="87"/>
        <v>5.2092188186458662E-3</v>
      </c>
    </row>
    <row r="180" spans="1:62" ht="13.5" x14ac:dyDescent="0.2">
      <c r="A180" s="28">
        <v>44414</v>
      </c>
      <c r="B180" s="29">
        <v>288.37933299999997</v>
      </c>
      <c r="C180" s="29">
        <v>145.92701700000001</v>
      </c>
      <c r="D180" s="29">
        <v>3344.9399410000001</v>
      </c>
      <c r="E180" s="29">
        <v>2714.7700199999999</v>
      </c>
      <c r="F180" s="29">
        <v>699.09997599999997</v>
      </c>
      <c r="G180" s="29">
        <v>2740.719971</v>
      </c>
      <c r="H180" s="29">
        <v>363.51001000000002</v>
      </c>
      <c r="I180" s="29">
        <v>203.59916699999999</v>
      </c>
      <c r="J180" s="29">
        <v>285.63000499999998</v>
      </c>
      <c r="K180" s="29">
        <v>156.55661000000001</v>
      </c>
      <c r="L180" s="26">
        <v>4436.5200000000004</v>
      </c>
      <c r="N180" s="3">
        <f t="shared" si="69"/>
        <v>-3.9116059800151501E-3</v>
      </c>
      <c r="O180" s="3">
        <f t="shared" si="70"/>
        <v>-3.4219532411992729E-4</v>
      </c>
      <c r="P180" s="3">
        <f t="shared" si="71"/>
        <v>-9.1817299700119826E-4</v>
      </c>
      <c r="Q180" s="3">
        <f t="shared" si="72"/>
        <v>8.6154432187797829E-3</v>
      </c>
      <c r="R180" s="3">
        <f t="shared" si="73"/>
        <v>2.0753026202179909E-2</v>
      </c>
      <c r="S180" s="3">
        <f t="shared" si="74"/>
        <v>7.0245374854150406E-3</v>
      </c>
      <c r="T180" s="3">
        <f t="shared" si="75"/>
        <v>-5.2405928993654524E-3</v>
      </c>
      <c r="U180" s="3">
        <f t="shared" si="76"/>
        <v>-3.4923184779429377E-3</v>
      </c>
      <c r="V180" s="3">
        <f t="shared" si="77"/>
        <v>5.5860423693083455E-3</v>
      </c>
      <c r="W180" s="3">
        <f t="shared" si="78"/>
        <v>-1.0799113238956397E-3</v>
      </c>
      <c r="X180" s="3">
        <f t="shared" si="79"/>
        <v>-9.4036789518653135E-4</v>
      </c>
      <c r="AK180" s="3"/>
      <c r="AL180" s="8"/>
      <c r="AW180" s="3"/>
      <c r="AY180" s="5"/>
      <c r="AZ180" s="28">
        <v>44412</v>
      </c>
      <c r="BA180" s="3">
        <f t="shared" si="88"/>
        <v>175</v>
      </c>
      <c r="BB180" s="3">
        <f t="shared" si="80"/>
        <v>1.3731217656011669</v>
      </c>
      <c r="BC180" s="3">
        <f t="shared" si="81"/>
        <v>1.3535493418649267</v>
      </c>
      <c r="BD180" s="3">
        <f t="shared" si="82"/>
        <v>2.3992535165883466</v>
      </c>
      <c r="BE180" s="3">
        <f t="shared" si="83"/>
        <v>1.5997965967504191</v>
      </c>
      <c r="BG180" s="3">
        <f t="shared" si="84"/>
        <v>8.6470673737291445E-3</v>
      </c>
      <c r="BH180" s="3">
        <f t="shared" si="85"/>
        <v>8.2765573011347147E-3</v>
      </c>
      <c r="BI180" s="3">
        <f t="shared" si="86"/>
        <v>8.1307948790284058E-3</v>
      </c>
      <c r="BJ180" s="3">
        <f t="shared" si="87"/>
        <v>7.277821160664842E-3</v>
      </c>
    </row>
    <row r="181" spans="1:62" ht="13.5" x14ac:dyDescent="0.2">
      <c r="A181" s="28">
        <v>44417</v>
      </c>
      <c r="B181" s="29">
        <v>287.25351000000001</v>
      </c>
      <c r="C181" s="29">
        <v>145.87709000000001</v>
      </c>
      <c r="D181" s="29">
        <v>3341.8701169999999</v>
      </c>
      <c r="E181" s="29">
        <v>2738.26001</v>
      </c>
      <c r="F181" s="29">
        <v>713.76000999999997</v>
      </c>
      <c r="G181" s="29">
        <v>2760.040039</v>
      </c>
      <c r="H181" s="29">
        <v>361.60998499999999</v>
      </c>
      <c r="I181" s="29">
        <v>202.889374</v>
      </c>
      <c r="J181" s="29">
        <v>287.23001099999999</v>
      </c>
      <c r="K181" s="29">
        <v>156.38763399999999</v>
      </c>
      <c r="L181" s="26">
        <v>4432.3500000000004</v>
      </c>
      <c r="N181" s="3">
        <f t="shared" si="69"/>
        <v>-6.5764320324286007E-3</v>
      </c>
      <c r="O181" s="3">
        <f t="shared" si="70"/>
        <v>-3.3596457963327559E-3</v>
      </c>
      <c r="P181" s="3">
        <f t="shared" si="71"/>
        <v>-6.3610048088356399E-3</v>
      </c>
      <c r="Q181" s="3">
        <f t="shared" si="72"/>
        <v>-7.7455689886047772E-4</v>
      </c>
      <c r="R181" s="3">
        <f t="shared" si="73"/>
        <v>-5.2959140458403225E-3</v>
      </c>
      <c r="S181" s="3">
        <f t="shared" si="74"/>
        <v>6.8449958392235381E-4</v>
      </c>
      <c r="T181" s="3">
        <f t="shared" si="75"/>
        <v>-1.3282233644333931E-3</v>
      </c>
      <c r="U181" s="3">
        <f t="shared" si="76"/>
        <v>-1.7847409785797335E-2</v>
      </c>
      <c r="V181" s="3">
        <f t="shared" si="77"/>
        <v>5.9357341829056193E-3</v>
      </c>
      <c r="W181" s="3">
        <f t="shared" si="78"/>
        <v>1.2192495725515022E-2</v>
      </c>
      <c r="X181" s="3">
        <f t="shared" si="79"/>
        <v>9.922089864754615E-4</v>
      </c>
      <c r="AK181" s="3"/>
      <c r="AL181" s="8"/>
      <c r="AW181" s="3"/>
      <c r="AY181" s="5"/>
      <c r="AZ181" s="28">
        <v>44413</v>
      </c>
      <c r="BA181" s="3">
        <f t="shared" si="88"/>
        <v>176</v>
      </c>
      <c r="BB181" s="3">
        <f t="shared" si="80"/>
        <v>1.385046725683174</v>
      </c>
      <c r="BC181" s="3">
        <f t="shared" si="81"/>
        <v>1.3647985587312592</v>
      </c>
      <c r="BD181" s="3">
        <f t="shared" si="82"/>
        <v>2.4188408772909304</v>
      </c>
      <c r="BE181" s="3">
        <f t="shared" si="83"/>
        <v>1.6114821012023088</v>
      </c>
      <c r="BG181" s="3">
        <f t="shared" si="84"/>
        <v>-6.4870594214528319E-4</v>
      </c>
      <c r="BH181" s="3">
        <f t="shared" si="85"/>
        <v>2.625629594949593E-3</v>
      </c>
      <c r="BI181" s="3">
        <f t="shared" si="86"/>
        <v>-1.0211470332141126E-2</v>
      </c>
      <c r="BJ181" s="3">
        <f t="shared" si="87"/>
        <v>-2.2019989347056176E-2</v>
      </c>
    </row>
    <row r="182" spans="1:62" ht="13.5" x14ac:dyDescent="0.2">
      <c r="A182" s="28">
        <v>44418</v>
      </c>
      <c r="B182" s="29">
        <v>285.37060500000001</v>
      </c>
      <c r="C182" s="29">
        <v>145.38781700000001</v>
      </c>
      <c r="D182" s="29">
        <v>3320.679932</v>
      </c>
      <c r="E182" s="29">
        <v>2736.139893</v>
      </c>
      <c r="F182" s="29">
        <v>709.98999000000003</v>
      </c>
      <c r="G182" s="29">
        <v>2761.929932</v>
      </c>
      <c r="H182" s="29">
        <v>361.13000499999998</v>
      </c>
      <c r="I182" s="29">
        <v>199.30044599999999</v>
      </c>
      <c r="J182" s="29">
        <v>288.94000199999999</v>
      </c>
      <c r="K182" s="29">
        <v>158.306061</v>
      </c>
      <c r="L182" s="26">
        <v>4436.75</v>
      </c>
      <c r="N182" s="3">
        <f t="shared" si="69"/>
        <v>1.7789714896787948E-3</v>
      </c>
      <c r="O182" s="3">
        <f t="shared" si="70"/>
        <v>1.7840661674907736E-3</v>
      </c>
      <c r="P182" s="3">
        <f t="shared" si="71"/>
        <v>-8.6408316588509615E-3</v>
      </c>
      <c r="Q182" s="3">
        <f t="shared" si="72"/>
        <v>-3.866850814053626E-3</v>
      </c>
      <c r="R182" s="3">
        <f t="shared" si="73"/>
        <v>-3.0610373730996939E-3</v>
      </c>
      <c r="S182" s="3">
        <f t="shared" si="74"/>
        <v>-2.9515272537504926E-3</v>
      </c>
      <c r="T182" s="3">
        <f t="shared" si="75"/>
        <v>-3.2451289943318945E-3</v>
      </c>
      <c r="U182" s="3">
        <f t="shared" si="76"/>
        <v>-1.195919838065517E-2</v>
      </c>
      <c r="V182" s="3">
        <f t="shared" si="77"/>
        <v>8.0659394109676274E-3</v>
      </c>
      <c r="W182" s="3">
        <f t="shared" si="78"/>
        <v>1.1859615075645681E-2</v>
      </c>
      <c r="X182" s="3">
        <f t="shared" si="79"/>
        <v>1.2748955456659639E-3</v>
      </c>
      <c r="AK182" s="3"/>
      <c r="AL182" s="8"/>
      <c r="AW182" s="3"/>
      <c r="AY182" s="5"/>
      <c r="AZ182" s="28">
        <v>44414</v>
      </c>
      <c r="BA182" s="3">
        <f t="shared" si="88"/>
        <v>177</v>
      </c>
      <c r="BB182" s="3">
        <f t="shared" si="80"/>
        <v>1.3841485290063333</v>
      </c>
      <c r="BC182" s="3">
        <f t="shared" si="81"/>
        <v>1.3683867227516511</v>
      </c>
      <c r="BD182" s="3">
        <f t="shared" si="82"/>
        <v>2.3942666385270752</v>
      </c>
      <c r="BE182" s="3">
        <f t="shared" si="83"/>
        <v>1.5763851182367985</v>
      </c>
      <c r="BG182" s="3">
        <f t="shared" si="84"/>
        <v>2.9438302893976371E-3</v>
      </c>
      <c r="BH182" s="3">
        <f t="shared" si="85"/>
        <v>2.2984924110020359E-3</v>
      </c>
      <c r="BI182" s="3">
        <f t="shared" si="86"/>
        <v>5.4623123783207033E-3</v>
      </c>
      <c r="BJ182" s="3">
        <f t="shared" si="87"/>
        <v>9.2320036344265433E-3</v>
      </c>
    </row>
    <row r="183" spans="1:62" ht="13.5" x14ac:dyDescent="0.2">
      <c r="A183" s="28">
        <v>44419</v>
      </c>
      <c r="B183" s="29">
        <v>285.87872299999998</v>
      </c>
      <c r="C183" s="29">
        <v>145.64743000000001</v>
      </c>
      <c r="D183" s="29">
        <v>3292.110107</v>
      </c>
      <c r="E183" s="29">
        <v>2725.580078</v>
      </c>
      <c r="F183" s="29">
        <v>707.82000700000003</v>
      </c>
      <c r="G183" s="29">
        <v>2753.790039</v>
      </c>
      <c r="H183" s="29">
        <v>359.959991</v>
      </c>
      <c r="I183" s="29">
        <v>196.93116800000001</v>
      </c>
      <c r="J183" s="29">
        <v>291.27999899999998</v>
      </c>
      <c r="K183" s="29">
        <v>160.19468699999999</v>
      </c>
      <c r="L183" s="26">
        <v>4442.41</v>
      </c>
      <c r="N183" s="3">
        <f t="shared" si="69"/>
        <v>9.9174865381764284E-3</v>
      </c>
      <c r="O183" s="3">
        <f t="shared" si="70"/>
        <v>2.0560552928371126E-2</v>
      </c>
      <c r="P183" s="3">
        <f t="shared" si="71"/>
        <v>3.4537833914868856E-3</v>
      </c>
      <c r="Q183" s="3">
        <f t="shared" si="72"/>
        <v>6.6916563670134464E-3</v>
      </c>
      <c r="R183" s="3">
        <f t="shared" si="73"/>
        <v>2.0181505375018487E-2</v>
      </c>
      <c r="S183" s="3">
        <f t="shared" si="74"/>
        <v>5.071023077949331E-3</v>
      </c>
      <c r="T183" s="3">
        <f t="shared" si="75"/>
        <v>7.4452761015737579E-3</v>
      </c>
      <c r="U183" s="3">
        <f t="shared" si="76"/>
        <v>1.0403019238095158E-2</v>
      </c>
      <c r="V183" s="3">
        <f t="shared" si="77"/>
        <v>-3.5768679615288128E-3</v>
      </c>
      <c r="W183" s="3">
        <f t="shared" si="78"/>
        <v>3.9015038776991249E-3</v>
      </c>
      <c r="X183" s="3">
        <f t="shared" si="79"/>
        <v>4.1378253942716235E-3</v>
      </c>
      <c r="AK183" s="3"/>
      <c r="AL183" s="8"/>
      <c r="AW183" s="3"/>
      <c r="AY183" s="5"/>
      <c r="AZ183" s="28">
        <v>44417</v>
      </c>
      <c r="BA183" s="3">
        <f t="shared" si="88"/>
        <v>178</v>
      </c>
      <c r="BB183" s="3">
        <f t="shared" si="80"/>
        <v>1.3882292308709299</v>
      </c>
      <c r="BC183" s="3">
        <f t="shared" si="81"/>
        <v>1.3715355666598288</v>
      </c>
      <c r="BD183" s="3">
        <f t="shared" si="82"/>
        <v>2.407380654643247</v>
      </c>
      <c r="BE183" s="3">
        <f t="shared" si="83"/>
        <v>1.5910056961494556</v>
      </c>
      <c r="BG183" s="3">
        <f t="shared" si="84"/>
        <v>-2.3387435770219887E-3</v>
      </c>
      <c r="BH183" s="3">
        <f t="shared" si="85"/>
        <v>-9.1232412512122832E-4</v>
      </c>
      <c r="BI183" s="3">
        <f t="shared" si="86"/>
        <v>-6.5967119332135697E-3</v>
      </c>
      <c r="BJ183" s="3">
        <f t="shared" si="87"/>
        <v>-1.1478327330012956E-2</v>
      </c>
    </row>
    <row r="184" spans="1:62" ht="13.5" x14ac:dyDescent="0.2">
      <c r="A184" s="28">
        <v>44420</v>
      </c>
      <c r="B184" s="29">
        <v>288.728027</v>
      </c>
      <c r="C184" s="29">
        <v>148.67301900000001</v>
      </c>
      <c r="D184" s="29">
        <v>3303.5</v>
      </c>
      <c r="E184" s="29">
        <v>2743.8798830000001</v>
      </c>
      <c r="F184" s="29">
        <v>722.25</v>
      </c>
      <c r="G184" s="29">
        <v>2767.790039</v>
      </c>
      <c r="H184" s="29">
        <v>362.64999399999999</v>
      </c>
      <c r="I184" s="29">
        <v>198.99054000000001</v>
      </c>
      <c r="J184" s="29">
        <v>290.23998999999998</v>
      </c>
      <c r="K184" s="29">
        <v>160.820908</v>
      </c>
      <c r="L184" s="26">
        <v>4460.83</v>
      </c>
      <c r="N184" s="3">
        <f t="shared" si="69"/>
        <v>1.0434912706229649E-2</v>
      </c>
      <c r="O184" s="3">
        <f t="shared" si="70"/>
        <v>1.4094974925882881E-3</v>
      </c>
      <c r="P184" s="3">
        <f t="shared" si="71"/>
        <v>-2.8889970459178931E-3</v>
      </c>
      <c r="Q184" s="3">
        <f t="shared" si="72"/>
        <v>3.8811731807558568E-3</v>
      </c>
      <c r="R184" s="3">
        <f t="shared" si="73"/>
        <v>-7.05845153082815E-3</v>
      </c>
      <c r="S184" s="3">
        <f t="shared" si="74"/>
        <v>1.1924976782125118E-4</v>
      </c>
      <c r="T184" s="3">
        <f t="shared" si="75"/>
        <v>1.4603945929183293E-3</v>
      </c>
      <c r="U184" s="3">
        <f t="shared" si="76"/>
        <v>1.4117448565919901E-2</v>
      </c>
      <c r="V184" s="3">
        <f t="shared" si="77"/>
        <v>-8.1296176371498923E-3</v>
      </c>
      <c r="W184" s="3">
        <f t="shared" si="78"/>
        <v>-1.1250425580847575E-2</v>
      </c>
      <c r="X184" s="3">
        <f t="shared" si="79"/>
        <v>1.6060338344795659E-3</v>
      </c>
      <c r="AK184" s="3"/>
      <c r="AL184" s="8"/>
      <c r="AW184" s="3"/>
      <c r="AY184" s="5"/>
      <c r="AZ184" s="28">
        <v>44418</v>
      </c>
      <c r="BA184" s="3">
        <f t="shared" si="88"/>
        <v>179</v>
      </c>
      <c r="BB184" s="3">
        <f t="shared" si="80"/>
        <v>1.3849863123294062</v>
      </c>
      <c r="BC184" s="3">
        <f t="shared" si="81"/>
        <v>1.3702848522891014</v>
      </c>
      <c r="BD184" s="3">
        <f t="shared" si="82"/>
        <v>2.3915521234814654</v>
      </c>
      <c r="BE184" s="3">
        <f t="shared" si="83"/>
        <v>1.5728480212121039</v>
      </c>
      <c r="BG184" s="3">
        <f t="shared" si="84"/>
        <v>-1.0835007440274536E-3</v>
      </c>
      <c r="BH184" s="3">
        <f t="shared" si="85"/>
        <v>2.6569461766712076E-4</v>
      </c>
      <c r="BI184" s="3">
        <f t="shared" si="86"/>
        <v>-3.8125062608752014E-3</v>
      </c>
      <c r="BJ184" s="3">
        <f t="shared" si="87"/>
        <v>-6.9414595526756297E-3</v>
      </c>
    </row>
    <row r="185" spans="1:62" ht="13.5" x14ac:dyDescent="0.2">
      <c r="A185" s="28">
        <v>44421</v>
      </c>
      <c r="B185" s="29">
        <v>291.75665300000003</v>
      </c>
      <c r="C185" s="29">
        <v>148.882721</v>
      </c>
      <c r="D185" s="29">
        <v>3293.969971</v>
      </c>
      <c r="E185" s="29">
        <v>2754.5500489999999</v>
      </c>
      <c r="F185" s="29">
        <v>717.169983</v>
      </c>
      <c r="G185" s="29">
        <v>2768.1201169999999</v>
      </c>
      <c r="H185" s="29">
        <v>363.17999300000002</v>
      </c>
      <c r="I185" s="29">
        <v>201.81970200000001</v>
      </c>
      <c r="J185" s="29">
        <v>287.89001500000001</v>
      </c>
      <c r="K185" s="29">
        <v>159.02174400000001</v>
      </c>
      <c r="L185" s="26">
        <v>4468</v>
      </c>
      <c r="N185" s="3">
        <f t="shared" si="69"/>
        <v>5.9580858857193747E-3</v>
      </c>
      <c r="O185" s="3">
        <f t="shared" si="70"/>
        <v>1.3456919818610913E-2</v>
      </c>
      <c r="P185" s="3">
        <f t="shared" si="71"/>
        <v>1.5228425471518216E-3</v>
      </c>
      <c r="Q185" s="3">
        <f t="shared" si="72"/>
        <v>4.2167931360009517E-3</v>
      </c>
      <c r="R185" s="3">
        <f t="shared" si="73"/>
        <v>-4.4187502154425712E-2</v>
      </c>
      <c r="S185" s="3">
        <f t="shared" si="74"/>
        <v>3.6780212743270993E-3</v>
      </c>
      <c r="T185" s="3">
        <f t="shared" si="75"/>
        <v>9.2636533915911624E-3</v>
      </c>
      <c r="U185" s="3">
        <f t="shared" si="76"/>
        <v>-1.1859219446596131E-2</v>
      </c>
      <c r="V185" s="3">
        <f t="shared" si="77"/>
        <v>5.4040971475737372E-3</v>
      </c>
      <c r="W185" s="3">
        <f t="shared" si="78"/>
        <v>-6.584892571598798E-3</v>
      </c>
      <c r="X185" s="3">
        <f t="shared" si="79"/>
        <v>2.6174309818667143E-3</v>
      </c>
      <c r="AK185" s="3"/>
      <c r="AL185" s="8"/>
      <c r="AW185" s="3"/>
      <c r="AY185" s="5"/>
      <c r="AZ185" s="28">
        <v>44419</v>
      </c>
      <c r="BA185" s="3">
        <f t="shared" si="88"/>
        <v>180</v>
      </c>
      <c r="BB185" s="3">
        <f t="shared" si="80"/>
        <v>1.3834864913048566</v>
      </c>
      <c r="BC185" s="3">
        <f t="shared" si="81"/>
        <v>1.37064897797</v>
      </c>
      <c r="BD185" s="3">
        <f t="shared" si="82"/>
        <v>2.3824516748193041</v>
      </c>
      <c r="BE185" s="3">
        <f t="shared" si="83"/>
        <v>1.5619679657098422</v>
      </c>
      <c r="BG185" s="3">
        <f t="shared" si="84"/>
        <v>8.4981529595011887E-3</v>
      </c>
      <c r="BH185" s="3">
        <f t="shared" si="85"/>
        <v>6.9415604769907336E-3</v>
      </c>
      <c r="BI185" s="3">
        <f t="shared" si="86"/>
        <v>1.3471092623445842E-2</v>
      </c>
      <c r="BJ185" s="3">
        <f t="shared" si="87"/>
        <v>1.978817529277729E-2</v>
      </c>
    </row>
    <row r="186" spans="1:62" ht="13.5" x14ac:dyDescent="0.2">
      <c r="A186" s="28">
        <v>44424</v>
      </c>
      <c r="B186" s="29">
        <v>293.50015300000001</v>
      </c>
      <c r="C186" s="29">
        <v>150.899765</v>
      </c>
      <c r="D186" s="29">
        <v>3298.98999</v>
      </c>
      <c r="E186" s="29">
        <v>2766.1899410000001</v>
      </c>
      <c r="F186" s="29">
        <v>686.169983</v>
      </c>
      <c r="G186" s="29">
        <v>2778.320068</v>
      </c>
      <c r="H186" s="29">
        <v>366.55999800000001</v>
      </c>
      <c r="I186" s="29">
        <v>199.440414</v>
      </c>
      <c r="J186" s="29">
        <v>289.45001200000002</v>
      </c>
      <c r="K186" s="29">
        <v>157.97804300000001</v>
      </c>
      <c r="L186" s="26">
        <v>4479.71</v>
      </c>
      <c r="N186" s="3">
        <f t="shared" si="69"/>
        <v>-5.1729587905058935E-3</v>
      </c>
      <c r="O186" s="3">
        <f t="shared" si="70"/>
        <v>-6.1729995443570657E-3</v>
      </c>
      <c r="P186" s="3">
        <f t="shared" si="71"/>
        <v>-1.7438284844351233E-2</v>
      </c>
      <c r="Q186" s="3">
        <f t="shared" si="72"/>
        <v>-1.1986848113281495E-2</v>
      </c>
      <c r="R186" s="3">
        <f t="shared" si="73"/>
        <v>-3.0271212338252872E-2</v>
      </c>
      <c r="S186" s="3">
        <f t="shared" si="74"/>
        <v>-1.1697500316769374E-2</v>
      </c>
      <c r="T186" s="3">
        <f t="shared" si="75"/>
        <v>-2.2372999472699544E-2</v>
      </c>
      <c r="U186" s="3">
        <f t="shared" si="76"/>
        <v>-2.4970859579774161E-2</v>
      </c>
      <c r="V186" s="3">
        <f t="shared" si="77"/>
        <v>-1.2099422065857449E-3</v>
      </c>
      <c r="W186" s="3">
        <f t="shared" si="78"/>
        <v>-1.2154416305222706E-2</v>
      </c>
      <c r="X186" s="3">
        <f t="shared" si="79"/>
        <v>-7.0857697907681849E-3</v>
      </c>
      <c r="AK186" s="3"/>
      <c r="AL186" s="8"/>
      <c r="AW186" s="3"/>
      <c r="AY186" s="5"/>
      <c r="AZ186" s="28">
        <v>44420</v>
      </c>
      <c r="BA186" s="3">
        <f t="shared" si="88"/>
        <v>181</v>
      </c>
      <c r="BB186" s="3">
        <f t="shared" si="80"/>
        <v>1.3952936696711815</v>
      </c>
      <c r="BC186" s="3">
        <f t="shared" si="81"/>
        <v>1.3801965198253658</v>
      </c>
      <c r="BD186" s="3">
        <f t="shared" si="82"/>
        <v>2.4147630481248021</v>
      </c>
      <c r="BE186" s="3">
        <f t="shared" si="83"/>
        <v>1.5931843001527353</v>
      </c>
      <c r="BG186" s="3">
        <f t="shared" si="84"/>
        <v>4.5540242520138207E-4</v>
      </c>
      <c r="BH186" s="3">
        <f t="shared" si="85"/>
        <v>-1.2586037025827997E-4</v>
      </c>
      <c r="BI186" s="3">
        <f t="shared" si="86"/>
        <v>2.425409373733515E-3</v>
      </c>
      <c r="BJ186" s="3">
        <f t="shared" si="87"/>
        <v>3.7994419788168086E-3</v>
      </c>
    </row>
    <row r="187" spans="1:62" ht="13.5" x14ac:dyDescent="0.2">
      <c r="A187" s="28">
        <v>44425</v>
      </c>
      <c r="B187" s="29">
        <v>291.98580900000002</v>
      </c>
      <c r="C187" s="29">
        <v>149.97112999999999</v>
      </c>
      <c r="D187" s="29">
        <v>3241.959961</v>
      </c>
      <c r="E187" s="29">
        <v>2733.2299800000001</v>
      </c>
      <c r="F187" s="29">
        <v>665.71002199999998</v>
      </c>
      <c r="G187" s="29">
        <v>2746.01001</v>
      </c>
      <c r="H187" s="29">
        <v>358.45001200000002</v>
      </c>
      <c r="I187" s="29">
        <v>194.52188100000001</v>
      </c>
      <c r="J187" s="29">
        <v>289.10000600000001</v>
      </c>
      <c r="K187" s="29">
        <v>156.069534</v>
      </c>
      <c r="L187" s="26">
        <v>4448.08</v>
      </c>
      <c r="N187" s="3">
        <f t="shared" si="69"/>
        <v>-6.13797297412193E-3</v>
      </c>
      <c r="O187" s="3">
        <f t="shared" si="70"/>
        <v>-2.5831910829616691E-2</v>
      </c>
      <c r="P187" s="3">
        <f t="shared" si="71"/>
        <v>-1.2646095055366039E-2</v>
      </c>
      <c r="Q187" s="3">
        <f t="shared" si="72"/>
        <v>-8.9118797973047094E-3</v>
      </c>
      <c r="R187" s="3">
        <f t="shared" si="73"/>
        <v>3.4372569283397103E-2</v>
      </c>
      <c r="S187" s="3">
        <f t="shared" si="74"/>
        <v>-5.334690258242924E-3</v>
      </c>
      <c r="T187" s="3">
        <f t="shared" si="75"/>
        <v>-8.4045876408390535E-3</v>
      </c>
      <c r="U187" s="3">
        <f t="shared" si="76"/>
        <v>-2.1716296201032732E-2</v>
      </c>
      <c r="V187" s="3">
        <f t="shared" si="77"/>
        <v>-9.5229616299992107E-3</v>
      </c>
      <c r="W187" s="3">
        <f t="shared" si="78"/>
        <v>-9.1493155343869269E-3</v>
      </c>
      <c r="X187" s="3">
        <f t="shared" si="79"/>
        <v>-1.0806639720144598E-2</v>
      </c>
      <c r="AK187" s="3"/>
      <c r="AL187" s="8"/>
      <c r="AW187" s="3"/>
      <c r="AY187" s="5"/>
      <c r="AZ187" s="28">
        <v>44421</v>
      </c>
      <c r="BA187" s="3">
        <f t="shared" si="88"/>
        <v>182</v>
      </c>
      <c r="BB187" s="3">
        <f t="shared" si="80"/>
        <v>1.395929234500116</v>
      </c>
      <c r="BC187" s="3">
        <f t="shared" si="81"/>
        <v>1.3800228187116239</v>
      </c>
      <c r="BD187" s="3">
        <f t="shared" si="82"/>
        <v>2.4206269453581424</v>
      </c>
      <c r="BE187" s="3">
        <f t="shared" si="83"/>
        <v>1.5992490254529339</v>
      </c>
      <c r="BG187" s="3">
        <f t="shared" si="84"/>
        <v>-2.2677634330872183E-3</v>
      </c>
      <c r="BH187" s="3">
        <f t="shared" si="85"/>
        <v>1.0362884148834189E-3</v>
      </c>
      <c r="BI187" s="3">
        <f t="shared" si="86"/>
        <v>-1.0187295369080016E-2</v>
      </c>
      <c r="BJ187" s="3">
        <f t="shared" si="87"/>
        <v>-2.1850819780131002E-2</v>
      </c>
    </row>
    <row r="188" spans="1:62" ht="13.5" x14ac:dyDescent="0.2">
      <c r="A188" s="28">
        <v>44426</v>
      </c>
      <c r="B188" s="29">
        <v>290.19909699999999</v>
      </c>
      <c r="C188" s="29">
        <v>146.14669799999999</v>
      </c>
      <c r="D188" s="29">
        <v>3201.219971</v>
      </c>
      <c r="E188" s="29">
        <v>2708.9799800000001</v>
      </c>
      <c r="F188" s="29">
        <v>688.98999000000003</v>
      </c>
      <c r="G188" s="29">
        <v>2731.3999020000001</v>
      </c>
      <c r="H188" s="29">
        <v>355.45001200000002</v>
      </c>
      <c r="I188" s="29">
        <v>190.34312399999999</v>
      </c>
      <c r="J188" s="29">
        <v>286.35998499999999</v>
      </c>
      <c r="K188" s="29">
        <v>154.64811700000001</v>
      </c>
      <c r="L188" s="26">
        <v>4400.2700000000004</v>
      </c>
      <c r="N188" s="3">
        <f t="shared" si="69"/>
        <v>2.0562290436334587E-2</v>
      </c>
      <c r="O188" s="3">
        <f t="shared" si="70"/>
        <v>2.3203689516003074E-3</v>
      </c>
      <c r="P188" s="3">
        <f t="shared" si="71"/>
        <v>-4.2166393078055973E-3</v>
      </c>
      <c r="Q188" s="3">
        <f t="shared" si="72"/>
        <v>1.7040298350609131E-3</v>
      </c>
      <c r="R188" s="3">
        <f t="shared" si="73"/>
        <v>-2.2783334238316383E-2</v>
      </c>
      <c r="S188" s="3">
        <f t="shared" si="74"/>
        <v>2.5120790507717557E-3</v>
      </c>
      <c r="T188" s="3">
        <f t="shared" si="75"/>
        <v>-9.2887968948202656E-4</v>
      </c>
      <c r="U188" s="3">
        <f t="shared" si="76"/>
        <v>3.9038859212425461E-2</v>
      </c>
      <c r="V188" s="3">
        <f t="shared" si="77"/>
        <v>-4.3044739913621387E-3</v>
      </c>
      <c r="W188" s="3">
        <f t="shared" si="78"/>
        <v>-8.3909853599919305E-3</v>
      </c>
      <c r="X188" s="3">
        <f t="shared" si="79"/>
        <v>1.2559520255743905E-3</v>
      </c>
      <c r="AK188" s="3"/>
      <c r="AL188" s="8"/>
      <c r="AW188" s="3"/>
      <c r="AY188" s="5"/>
      <c r="AZ188" s="28">
        <v>44424</v>
      </c>
      <c r="BA188" s="3">
        <f t="shared" si="88"/>
        <v>183</v>
      </c>
      <c r="BB188" s="3">
        <f t="shared" si="80"/>
        <v>1.3927671839733546</v>
      </c>
      <c r="BC188" s="3">
        <f t="shared" si="81"/>
        <v>1.3814536616258495</v>
      </c>
      <c r="BD188" s="3">
        <f t="shared" si="82"/>
        <v>2.3960924857645609</v>
      </c>
      <c r="BE188" s="3">
        <f t="shared" si="83"/>
        <v>1.5646831449301417</v>
      </c>
      <c r="BG188" s="3">
        <f t="shared" si="84"/>
        <v>-1.4409437946599386E-2</v>
      </c>
      <c r="BH188" s="3">
        <f t="shared" si="85"/>
        <v>-1.1913664204751572E-2</v>
      </c>
      <c r="BI188" s="3">
        <f t="shared" si="86"/>
        <v>-1.788169812537713E-2</v>
      </c>
      <c r="BJ188" s="3">
        <f t="shared" si="87"/>
        <v>-2.2942196537385034E-2</v>
      </c>
    </row>
    <row r="189" spans="1:62" ht="13.5" x14ac:dyDescent="0.2">
      <c r="A189" s="28">
        <v>44427</v>
      </c>
      <c r="B189" s="29">
        <v>296.228027</v>
      </c>
      <c r="C189" s="29">
        <v>146.48620600000001</v>
      </c>
      <c r="D189" s="29">
        <v>3187.75</v>
      </c>
      <c r="E189" s="29">
        <v>2713.6000979999999</v>
      </c>
      <c r="F189" s="29">
        <v>673.46997099999999</v>
      </c>
      <c r="G189" s="29">
        <v>2738.2700199999999</v>
      </c>
      <c r="H189" s="29">
        <v>355.11999500000002</v>
      </c>
      <c r="I189" s="29">
        <v>197.92085299999999</v>
      </c>
      <c r="J189" s="29">
        <v>285.13000499999998</v>
      </c>
      <c r="K189" s="29">
        <v>153.355896</v>
      </c>
      <c r="L189" s="26">
        <v>4405.8</v>
      </c>
      <c r="N189" s="3">
        <f t="shared" si="69"/>
        <v>2.5253793677050433E-2</v>
      </c>
      <c r="O189" s="3">
        <f t="shared" si="70"/>
        <v>1.010561973560568E-2</v>
      </c>
      <c r="P189" s="3">
        <f t="shared" si="71"/>
        <v>3.8198305893556348E-3</v>
      </c>
      <c r="Q189" s="3">
        <f t="shared" si="72"/>
        <v>1.281188220275936E-2</v>
      </c>
      <c r="R189" s="3">
        <f t="shared" si="73"/>
        <v>1.0031684365412952E-2</v>
      </c>
      <c r="S189" s="3">
        <f t="shared" si="74"/>
        <v>1.106599802096438E-2</v>
      </c>
      <c r="T189" s="3">
        <f t="shared" si="75"/>
        <v>1.1896738052080094E-2</v>
      </c>
      <c r="U189" s="3">
        <f t="shared" si="76"/>
        <v>5.0141058376585536E-2</v>
      </c>
      <c r="V189" s="3">
        <f t="shared" si="77"/>
        <v>4.9082750449800869E-4</v>
      </c>
      <c r="W189" s="3">
        <f t="shared" si="78"/>
        <v>2.8478886461632833E-3</v>
      </c>
      <c r="X189" s="3">
        <f t="shared" si="79"/>
        <v>8.1085771490773013E-3</v>
      </c>
      <c r="AK189" s="3"/>
      <c r="AL189" s="8"/>
      <c r="AW189" s="3"/>
      <c r="AY189" s="5"/>
      <c r="AZ189" s="28">
        <v>44425</v>
      </c>
      <c r="BA189" s="3">
        <f t="shared" si="88"/>
        <v>184</v>
      </c>
      <c r="BB189" s="3">
        <f t="shared" si="80"/>
        <v>1.3728420911122956</v>
      </c>
      <c r="BC189" s="3">
        <f t="shared" si="81"/>
        <v>1.365093136996143</v>
      </c>
      <c r="BD189" s="3">
        <f t="shared" si="82"/>
        <v>2.3536270914723239</v>
      </c>
      <c r="BE189" s="3">
        <f t="shared" si="83"/>
        <v>1.5291945267166149</v>
      </c>
      <c r="BG189" s="3">
        <f t="shared" si="84"/>
        <v>-7.1041626960557875E-3</v>
      </c>
      <c r="BH189" s="3">
        <f t="shared" si="85"/>
        <v>-8.9164715778716954E-3</v>
      </c>
      <c r="BI189" s="3">
        <f t="shared" si="86"/>
        <v>-2.1570324436927489E-3</v>
      </c>
      <c r="BJ189" s="3">
        <f t="shared" si="87"/>
        <v>5.8827714487160749E-3</v>
      </c>
    </row>
    <row r="190" spans="1:62" ht="13.5" x14ac:dyDescent="0.2">
      <c r="A190" s="28">
        <v>44428</v>
      </c>
      <c r="B190" s="29">
        <v>303.804169</v>
      </c>
      <c r="C190" s="29">
        <v>147.97404499999999</v>
      </c>
      <c r="D190" s="29">
        <v>3199.9499510000001</v>
      </c>
      <c r="E190" s="29">
        <v>2748.5900879999999</v>
      </c>
      <c r="F190" s="29">
        <v>680.26000999999997</v>
      </c>
      <c r="G190" s="29">
        <v>2768.73999</v>
      </c>
      <c r="H190" s="29">
        <v>359.36999500000002</v>
      </c>
      <c r="I190" s="29">
        <v>208.097824</v>
      </c>
      <c r="J190" s="29">
        <v>285.26998900000001</v>
      </c>
      <c r="K190" s="29">
        <v>153.79325900000001</v>
      </c>
      <c r="L190" s="26">
        <v>4441.67</v>
      </c>
      <c r="N190" s="3">
        <f t="shared" si="69"/>
        <v>9.5242657244558348E-4</v>
      </c>
      <c r="O190" s="3">
        <f t="shared" si="70"/>
        <v>1.0204902570216003E-2</v>
      </c>
      <c r="P190" s="3">
        <f t="shared" si="71"/>
        <v>2.0391056168623276E-2</v>
      </c>
      <c r="Q190" s="3">
        <f t="shared" si="72"/>
        <v>1.8827744742613218E-2</v>
      </c>
      <c r="R190" s="3">
        <f t="shared" si="73"/>
        <v>3.7564966691597139E-2</v>
      </c>
      <c r="S190" s="3">
        <f t="shared" si="74"/>
        <v>1.9049966839749716E-2</v>
      </c>
      <c r="T190" s="3">
        <f t="shared" si="75"/>
        <v>1.101408907753653E-2</v>
      </c>
      <c r="U190" s="3">
        <f t="shared" si="76"/>
        <v>5.3409648284613483E-2</v>
      </c>
      <c r="V190" s="3">
        <f t="shared" si="77"/>
        <v>1.2261768595088717E-3</v>
      </c>
      <c r="W190" s="3">
        <f t="shared" si="78"/>
        <v>1.2716109908251472E-2</v>
      </c>
      <c r="X190" s="3">
        <f t="shared" si="79"/>
        <v>8.487698356534068E-3</v>
      </c>
      <c r="AK190" s="3"/>
      <c r="AL190" s="8"/>
      <c r="AW190" s="3"/>
      <c r="AY190" s="5"/>
      <c r="AZ190" s="28">
        <v>44426</v>
      </c>
      <c r="BA190" s="3">
        <f t="shared" si="88"/>
        <v>185</v>
      </c>
      <c r="BB190" s="3">
        <f t="shared" si="80"/>
        <v>1.3631237587212062</v>
      </c>
      <c r="BC190" s="3">
        <f t="shared" si="81"/>
        <v>1.3529754267317733</v>
      </c>
      <c r="BD190" s="3">
        <f t="shared" si="82"/>
        <v>2.3485557130059447</v>
      </c>
      <c r="BE190" s="3">
        <f t="shared" si="83"/>
        <v>1.5382169409986086</v>
      </c>
      <c r="BG190" s="3">
        <f t="shared" si="84"/>
        <v>3.0859259766919962E-3</v>
      </c>
      <c r="BH190" s="3">
        <f t="shared" si="85"/>
        <v>2.8886270904815896E-3</v>
      </c>
      <c r="BI190" s="3">
        <f t="shared" si="86"/>
        <v>4.1995363830405986E-3</v>
      </c>
      <c r="BJ190" s="3">
        <f t="shared" si="87"/>
        <v>3.3533578396940452E-3</v>
      </c>
    </row>
    <row r="191" spans="1:62" ht="13.5" x14ac:dyDescent="0.2">
      <c r="A191" s="28">
        <v>44431</v>
      </c>
      <c r="B191" s="29">
        <v>304.093658</v>
      </c>
      <c r="C191" s="29">
        <v>149.491837</v>
      </c>
      <c r="D191" s="29">
        <v>3265.8701169999999</v>
      </c>
      <c r="E191" s="29">
        <v>2800.830078</v>
      </c>
      <c r="F191" s="29">
        <v>706.29998799999998</v>
      </c>
      <c r="G191" s="29">
        <v>2821.98999</v>
      </c>
      <c r="H191" s="29">
        <v>363.35000600000001</v>
      </c>
      <c r="I191" s="29">
        <v>219.51442</v>
      </c>
      <c r="J191" s="29">
        <v>285.61999500000002</v>
      </c>
      <c r="K191" s="29">
        <v>155.76139800000001</v>
      </c>
      <c r="L191" s="26">
        <v>4479.53</v>
      </c>
      <c r="N191" s="3">
        <f t="shared" si="69"/>
        <v>-6.6857271067513246E-3</v>
      </c>
      <c r="O191" s="3">
        <f t="shared" si="70"/>
        <v>-6.0148459099473818E-4</v>
      </c>
      <c r="P191" s="3">
        <f t="shared" si="71"/>
        <v>1.2146234743060017E-2</v>
      </c>
      <c r="Q191" s="3">
        <f t="shared" si="72"/>
        <v>8.6739404592356094E-3</v>
      </c>
      <c r="R191" s="3">
        <f t="shared" si="73"/>
        <v>3.0958711656321296E-3</v>
      </c>
      <c r="S191" s="3">
        <f t="shared" si="74"/>
        <v>9.1641433090566427E-3</v>
      </c>
      <c r="T191" s="3">
        <f t="shared" si="75"/>
        <v>5.9270923800664836E-3</v>
      </c>
      <c r="U191" s="3">
        <f t="shared" si="76"/>
        <v>-7.5427837985629319E-3</v>
      </c>
      <c r="V191" s="3">
        <f t="shared" si="77"/>
        <v>1.3994614669295086E-3</v>
      </c>
      <c r="W191" s="3">
        <f t="shared" si="78"/>
        <v>6.1710798160272669E-3</v>
      </c>
      <c r="X191" s="3">
        <f t="shared" si="79"/>
        <v>1.4945751943348515E-3</v>
      </c>
      <c r="AK191" s="3"/>
      <c r="AL191" s="8"/>
      <c r="AW191" s="3"/>
      <c r="AY191" s="5"/>
      <c r="AZ191" s="28">
        <v>44427</v>
      </c>
      <c r="BA191" s="3">
        <f t="shared" si="88"/>
        <v>186</v>
      </c>
      <c r="BB191" s="3">
        <f t="shared" si="80"/>
        <v>1.3673367548915092</v>
      </c>
      <c r="BC191" s="3">
        <f t="shared" si="81"/>
        <v>1.3568893183673771</v>
      </c>
      <c r="BD191" s="3">
        <f t="shared" si="82"/>
        <v>2.3584392968796908</v>
      </c>
      <c r="BE191" s="3">
        <f t="shared" si="83"/>
        <v>1.5433837911438049</v>
      </c>
      <c r="BG191" s="3">
        <f t="shared" si="84"/>
        <v>1.4712273190269996E-2</v>
      </c>
      <c r="BH191" s="3">
        <f t="shared" si="85"/>
        <v>1.2663096773314141E-2</v>
      </c>
      <c r="BI191" s="3">
        <f t="shared" si="86"/>
        <v>1.9542834800455156E-2</v>
      </c>
      <c r="BJ191" s="3">
        <f t="shared" si="87"/>
        <v>2.4249649152412543E-2</v>
      </c>
    </row>
    <row r="192" spans="1:62" ht="13.5" x14ac:dyDescent="0.2">
      <c r="A192" s="28">
        <v>44432</v>
      </c>
      <c r="B192" s="29">
        <v>302.06735200000003</v>
      </c>
      <c r="C192" s="29">
        <v>149.40194700000001</v>
      </c>
      <c r="D192" s="29">
        <v>3305.780029</v>
      </c>
      <c r="E192" s="29">
        <v>2825.2299800000001</v>
      </c>
      <c r="F192" s="29">
        <v>708.48999000000003</v>
      </c>
      <c r="G192" s="29">
        <v>2847.969971</v>
      </c>
      <c r="H192" s="29">
        <v>365.51001000000002</v>
      </c>
      <c r="I192" s="29">
        <v>217.86489900000001</v>
      </c>
      <c r="J192" s="29">
        <v>286.01998900000001</v>
      </c>
      <c r="K192" s="29">
        <v>156.72558599999999</v>
      </c>
      <c r="L192" s="26">
        <v>4486.2299999999996</v>
      </c>
      <c r="N192" s="3">
        <f t="shared" si="69"/>
        <v>-2.0176640605218351E-3</v>
      </c>
      <c r="O192" s="3">
        <f t="shared" si="70"/>
        <v>-8.4569890785102918E-3</v>
      </c>
      <c r="P192" s="3">
        <f t="shared" si="71"/>
        <v>-1.9985281472609637E-3</v>
      </c>
      <c r="Q192" s="3">
        <f t="shared" si="72"/>
        <v>5.7704928177326684E-3</v>
      </c>
      <c r="R192" s="3">
        <f t="shared" si="73"/>
        <v>3.8177704820247472E-3</v>
      </c>
      <c r="S192" s="3">
        <f t="shared" si="74"/>
        <v>3.8654637364820789E-3</v>
      </c>
      <c r="T192" s="3">
        <f t="shared" si="75"/>
        <v>7.8485343664853446E-3</v>
      </c>
      <c r="U192" s="3">
        <f t="shared" si="76"/>
        <v>1.9088884151085495E-2</v>
      </c>
      <c r="V192" s="3">
        <f t="shared" si="77"/>
        <v>4.4652242311167241E-3</v>
      </c>
      <c r="W192" s="3">
        <f t="shared" si="78"/>
        <v>2.0403086427179459E-2</v>
      </c>
      <c r="X192" s="3">
        <f t="shared" si="79"/>
        <v>2.2176660815180892E-3</v>
      </c>
      <c r="AK192" s="3"/>
      <c r="AL192" s="8"/>
      <c r="AW192" s="3"/>
      <c r="AY192" s="5"/>
      <c r="AZ192" s="28">
        <v>44428</v>
      </c>
      <c r="BA192" s="3">
        <f t="shared" si="88"/>
        <v>187</v>
      </c>
      <c r="BB192" s="3">
        <f t="shared" si="80"/>
        <v>1.3876020958523976</v>
      </c>
      <c r="BC192" s="3">
        <f t="shared" si="81"/>
        <v>1.3741809911140694</v>
      </c>
      <c r="BD192" s="3">
        <f t="shared" si="82"/>
        <v>2.4049832050625044</v>
      </c>
      <c r="BE192" s="3">
        <f t="shared" si="83"/>
        <v>1.5812677869487501</v>
      </c>
      <c r="BG192" s="3">
        <f t="shared" si="84"/>
        <v>1.9324060161197285E-2</v>
      </c>
      <c r="BH192" s="3">
        <f t="shared" si="85"/>
        <v>1.5245090160504611E-2</v>
      </c>
      <c r="BI192" s="3">
        <f t="shared" si="86"/>
        <v>2.6698539431635832E-2</v>
      </c>
      <c r="BJ192" s="3">
        <f t="shared" si="87"/>
        <v>3.6019990795645114E-2</v>
      </c>
    </row>
    <row r="193" spans="1:62" ht="13.5" x14ac:dyDescent="0.2">
      <c r="A193" s="28">
        <v>44433</v>
      </c>
      <c r="B193" s="29">
        <v>301.45849600000003</v>
      </c>
      <c r="C193" s="29">
        <v>148.14378400000001</v>
      </c>
      <c r="D193" s="29">
        <v>3299.179932</v>
      </c>
      <c r="E193" s="29">
        <v>2841.580078</v>
      </c>
      <c r="F193" s="29">
        <v>711.20001200000002</v>
      </c>
      <c r="G193" s="29">
        <v>2859</v>
      </c>
      <c r="H193" s="29">
        <v>368.39001500000001</v>
      </c>
      <c r="I193" s="29">
        <v>222.06364400000001</v>
      </c>
      <c r="J193" s="29">
        <v>287.29998799999998</v>
      </c>
      <c r="K193" s="29">
        <v>159.95611600000001</v>
      </c>
      <c r="L193" s="26">
        <v>4496.1899999999996</v>
      </c>
      <c r="N193" s="3">
        <f t="shared" si="69"/>
        <v>-9.7156155393782178E-3</v>
      </c>
      <c r="O193" s="3">
        <f t="shared" si="70"/>
        <v>-5.5424071186899503E-3</v>
      </c>
      <c r="P193" s="3">
        <f t="shared" si="71"/>
        <v>5.0853051377564365E-3</v>
      </c>
      <c r="Q193" s="3">
        <f t="shared" si="72"/>
        <v>-4.5041135725351605E-3</v>
      </c>
      <c r="R193" s="3">
        <f t="shared" si="73"/>
        <v>-1.4217633225856211E-2</v>
      </c>
      <c r="S193" s="3">
        <f t="shared" si="74"/>
        <v>-5.8020526367567474E-3</v>
      </c>
      <c r="T193" s="3">
        <f t="shared" si="75"/>
        <v>-1.0944907462723077E-2</v>
      </c>
      <c r="U193" s="3">
        <f t="shared" si="76"/>
        <v>-6.5491174228759028E-3</v>
      </c>
      <c r="V193" s="3">
        <f t="shared" si="77"/>
        <v>-7.0908625575552397E-3</v>
      </c>
      <c r="W193" s="3">
        <f t="shared" si="78"/>
        <v>5.1446706486744506E-3</v>
      </c>
      <c r="X193" s="3">
        <f t="shared" si="79"/>
        <v>-5.8419628594696153E-3</v>
      </c>
      <c r="AK193" s="3"/>
      <c r="AL193" s="8"/>
      <c r="AW193" s="3"/>
      <c r="AY193" s="5"/>
      <c r="AZ193" s="28">
        <v>44431</v>
      </c>
      <c r="BA193" s="3">
        <f t="shared" si="88"/>
        <v>188</v>
      </c>
      <c r="BB193" s="3">
        <f t="shared" si="80"/>
        <v>1.4146769578457001</v>
      </c>
      <c r="BC193" s="3">
        <f t="shared" si="81"/>
        <v>1.3952910074198537</v>
      </c>
      <c r="BD193" s="3">
        <f t="shared" si="82"/>
        <v>2.4700575738592407</v>
      </c>
      <c r="BE193" s="3">
        <f t="shared" si="83"/>
        <v>1.6392632660575976</v>
      </c>
      <c r="BG193" s="3">
        <f t="shared" si="84"/>
        <v>2.9370617293638821E-3</v>
      </c>
      <c r="BH193" s="3">
        <f t="shared" si="85"/>
        <v>3.1777270439663921E-3</v>
      </c>
      <c r="BI193" s="3">
        <f t="shared" si="86"/>
        <v>9.7427643193971256E-4</v>
      </c>
      <c r="BJ193" s="3">
        <f t="shared" si="87"/>
        <v>-1.0759979027380163E-3</v>
      </c>
    </row>
    <row r="194" spans="1:62" ht="13.5" x14ac:dyDescent="0.2">
      <c r="A194" s="28">
        <v>44434</v>
      </c>
      <c r="B194" s="29">
        <v>298.54382299999997</v>
      </c>
      <c r="C194" s="29">
        <v>147.32498200000001</v>
      </c>
      <c r="D194" s="29">
        <v>3316</v>
      </c>
      <c r="E194" s="29">
        <v>2828.8100589999999</v>
      </c>
      <c r="F194" s="29">
        <v>701.15997300000004</v>
      </c>
      <c r="G194" s="29">
        <v>2842.459961</v>
      </c>
      <c r="H194" s="29">
        <v>364.38000499999998</v>
      </c>
      <c r="I194" s="29">
        <v>220.61407500000001</v>
      </c>
      <c r="J194" s="29">
        <v>285.26998900000001</v>
      </c>
      <c r="K194" s="29">
        <v>160.781158</v>
      </c>
      <c r="L194" s="26">
        <v>4470</v>
      </c>
      <c r="N194" s="3">
        <f t="shared" si="69"/>
        <v>2.1041588829672241E-3</v>
      </c>
      <c r="O194" s="3">
        <f t="shared" si="70"/>
        <v>7.1589132758613358E-3</v>
      </c>
      <c r="P194" s="3">
        <f t="shared" si="71"/>
        <v>1.0090619773697714E-2</v>
      </c>
      <c r="Q194" s="3">
        <f t="shared" si="72"/>
        <v>1.7961949242778955E-2</v>
      </c>
      <c r="R194" s="3">
        <f t="shared" si="73"/>
        <v>1.5229453822789556E-2</v>
      </c>
      <c r="S194" s="3">
        <f t="shared" si="74"/>
        <v>1.6936064794530348E-2</v>
      </c>
      <c r="T194" s="3">
        <f t="shared" si="75"/>
        <v>2.2388690782870386E-2</v>
      </c>
      <c r="U194" s="3">
        <f t="shared" si="76"/>
        <v>2.541294539365662E-2</v>
      </c>
      <c r="V194" s="3">
        <f t="shared" si="77"/>
        <v>4.6514746696712595E-3</v>
      </c>
      <c r="W194" s="3">
        <f t="shared" si="78"/>
        <v>8.0049236556379889E-3</v>
      </c>
      <c r="X194" s="3">
        <f t="shared" si="79"/>
        <v>8.7690455528976891E-3</v>
      </c>
      <c r="AK194" s="3"/>
      <c r="AL194" s="8"/>
      <c r="AW194" s="3"/>
      <c r="AY194" s="5"/>
      <c r="AZ194" s="28">
        <v>44432</v>
      </c>
      <c r="BA194" s="3">
        <f t="shared" si="88"/>
        <v>189</v>
      </c>
      <c r="BB194" s="3">
        <f t="shared" si="80"/>
        <v>1.4188380591123899</v>
      </c>
      <c r="BC194" s="3">
        <f t="shared" si="81"/>
        <v>1.3997319136452377</v>
      </c>
      <c r="BD194" s="3">
        <f t="shared" si="82"/>
        <v>2.4724652654271098</v>
      </c>
      <c r="BE194" s="3">
        <f t="shared" si="83"/>
        <v>1.6375003708271554</v>
      </c>
      <c r="BG194" s="3">
        <f t="shared" si="84"/>
        <v>5.8179155134729533E-3</v>
      </c>
      <c r="BH194" s="3">
        <f t="shared" si="85"/>
        <v>5.1672287096282583E-3</v>
      </c>
      <c r="BI194" s="3">
        <f t="shared" si="86"/>
        <v>3.9446288872097054E-3</v>
      </c>
      <c r="BJ194" s="3">
        <f t="shared" si="87"/>
        <v>1.7086429443366612E-3</v>
      </c>
    </row>
    <row r="195" spans="1:62" ht="13.5" x14ac:dyDescent="0.2">
      <c r="A195" s="28">
        <v>44435</v>
      </c>
      <c r="B195" s="29">
        <v>299.17266799999999</v>
      </c>
      <c r="C195" s="29">
        <v>148.383453</v>
      </c>
      <c r="D195" s="29">
        <v>3349.6298830000001</v>
      </c>
      <c r="E195" s="29">
        <v>2880.080078</v>
      </c>
      <c r="F195" s="29">
        <v>711.919983</v>
      </c>
      <c r="G195" s="29">
        <v>2891.01001</v>
      </c>
      <c r="H195" s="29">
        <v>372.63000499999998</v>
      </c>
      <c r="I195" s="29">
        <v>226.292374</v>
      </c>
      <c r="J195" s="29">
        <v>286.60000600000001</v>
      </c>
      <c r="K195" s="29">
        <v>162.073364</v>
      </c>
      <c r="L195" s="26">
        <v>4509.37</v>
      </c>
      <c r="N195" s="3">
        <f t="shared" si="69"/>
        <v>1.2829342597655285E-2</v>
      </c>
      <c r="O195" s="3">
        <f t="shared" si="70"/>
        <v>2.9963695741723261E-2</v>
      </c>
      <c r="P195" s="3">
        <f t="shared" si="71"/>
        <v>2.124967289137843E-2</v>
      </c>
      <c r="Q195" s="3">
        <f t="shared" si="72"/>
        <v>4.0645254397462336E-3</v>
      </c>
      <c r="R195" s="3">
        <f t="shared" si="73"/>
        <v>2.6324774545190471E-2</v>
      </c>
      <c r="S195" s="3">
        <f t="shared" si="74"/>
        <v>6.3374749410952452E-3</v>
      </c>
      <c r="T195" s="3">
        <f t="shared" si="75"/>
        <v>2.1320615125354988E-2</v>
      </c>
      <c r="U195" s="3">
        <f t="shared" si="76"/>
        <v>2.2946190757893166E-3</v>
      </c>
      <c r="V195" s="3">
        <f t="shared" si="77"/>
        <v>-3.2852298920295971E-3</v>
      </c>
      <c r="W195" s="3">
        <f t="shared" si="78"/>
        <v>-1.6136819721435967E-2</v>
      </c>
      <c r="X195" s="3">
        <f t="shared" si="79"/>
        <v>4.2973414690568616E-3</v>
      </c>
      <c r="AK195" s="3"/>
      <c r="AL195" s="8"/>
      <c r="AW195" s="3"/>
      <c r="AY195" s="5"/>
      <c r="AZ195" s="28">
        <v>44433</v>
      </c>
      <c r="BA195" s="3">
        <f t="shared" si="88"/>
        <v>190</v>
      </c>
      <c r="BB195" s="3">
        <f t="shared" si="80"/>
        <v>1.4271167982182964</v>
      </c>
      <c r="BC195" s="3">
        <f t="shared" si="81"/>
        <v>1.406983367400594</v>
      </c>
      <c r="BD195" s="3">
        <f t="shared" si="82"/>
        <v>2.482237484553278</v>
      </c>
      <c r="BE195" s="3">
        <f t="shared" si="83"/>
        <v>1.640300665953093</v>
      </c>
      <c r="BG195" s="3">
        <f t="shared" si="84"/>
        <v>-5.6521877548829768E-3</v>
      </c>
      <c r="BH195" s="3">
        <f t="shared" si="85"/>
        <v>-5.0751542214958617E-3</v>
      </c>
      <c r="BI195" s="3">
        <f t="shared" si="86"/>
        <v>-7.4852770601637302E-3</v>
      </c>
      <c r="BJ195" s="3">
        <f t="shared" si="87"/>
        <v>-9.7544328506753257E-3</v>
      </c>
    </row>
    <row r="196" spans="1:62" ht="13.5" x14ac:dyDescent="0.2">
      <c r="A196" s="28">
        <v>44438</v>
      </c>
      <c r="B196" s="29">
        <v>303.03558299999997</v>
      </c>
      <c r="C196" s="29">
        <v>152.896851</v>
      </c>
      <c r="D196" s="29">
        <v>3421.570068</v>
      </c>
      <c r="E196" s="29">
        <v>2891.8100589999999</v>
      </c>
      <c r="F196" s="29">
        <v>730.90997300000004</v>
      </c>
      <c r="G196" s="29">
        <v>2909.389893</v>
      </c>
      <c r="H196" s="29">
        <v>380.66000400000001</v>
      </c>
      <c r="I196" s="29">
        <v>226.81222500000001</v>
      </c>
      <c r="J196" s="29">
        <v>285.66000400000001</v>
      </c>
      <c r="K196" s="29">
        <v>159.479004</v>
      </c>
      <c r="L196" s="26">
        <v>4528.79</v>
      </c>
      <c r="N196" s="3">
        <f t="shared" ref="N196:N253" si="89">LN(B197/B196)</f>
        <v>-5.6484226060277152E-3</v>
      </c>
      <c r="O196" s="3">
        <f t="shared" ref="O196:O253" si="90">LN(C197/C196)</f>
        <v>-8.4604338767389452E-3</v>
      </c>
      <c r="P196" s="3">
        <f t="shared" ref="P196:P253" si="91">LN(D197/D196)</f>
        <v>1.42827150514256E-2</v>
      </c>
      <c r="Q196" s="3">
        <f t="shared" ref="Q196:Q253" si="92">LN(E197/E196)</f>
        <v>7.3970994091547603E-4</v>
      </c>
      <c r="R196" s="3">
        <f t="shared" ref="R196:R253" si="93">LN(F197/F196)</f>
        <v>6.5592759307172184E-3</v>
      </c>
      <c r="S196" s="3">
        <f t="shared" ref="S196:S253" si="94">LN(G197/G196)</f>
        <v>-5.152518824788201E-5</v>
      </c>
      <c r="T196" s="3">
        <f t="shared" ref="T196:T253" si="95">LN(H197/H196)</f>
        <v>-3.3682442897282343E-3</v>
      </c>
      <c r="U196" s="3">
        <f t="shared" ref="U196:U253" si="96">LN(I197/I196)</f>
        <v>-1.3268694249571363E-2</v>
      </c>
      <c r="V196" s="3">
        <f t="shared" ref="V196:V253" si="97">LN(J197/J196)</f>
        <v>3.8494654710284187E-4</v>
      </c>
      <c r="W196" s="3">
        <f t="shared" ref="W196:W253" si="98">LN(K197/K196)</f>
        <v>-3.0588435605051565E-3</v>
      </c>
      <c r="X196" s="3">
        <f t="shared" ref="X196:X253" si="99">LN(L197/L196)</f>
        <v>-1.3500571571324227E-3</v>
      </c>
      <c r="AK196" s="3"/>
      <c r="AL196" s="8"/>
      <c r="AW196" s="3"/>
      <c r="AY196" s="5"/>
      <c r="AZ196" s="28">
        <v>44434</v>
      </c>
      <c r="BA196" s="3">
        <f t="shared" si="88"/>
        <v>191</v>
      </c>
      <c r="BB196" s="3">
        <f t="shared" si="80"/>
        <v>1.4190732194494884</v>
      </c>
      <c r="BC196" s="3">
        <f t="shared" si="81"/>
        <v>1.3998607991781531</v>
      </c>
      <c r="BD196" s="3">
        <f t="shared" si="82"/>
        <v>2.463726615174521</v>
      </c>
      <c r="BE196" s="3">
        <f t="shared" si="83"/>
        <v>1.6243782465873344</v>
      </c>
      <c r="BG196" s="3">
        <f t="shared" si="84"/>
        <v>1.3561535102398081E-2</v>
      </c>
      <c r="BH196" s="3">
        <f t="shared" si="85"/>
        <v>1.1958009607302648E-2</v>
      </c>
      <c r="BI196" s="3">
        <f t="shared" si="86"/>
        <v>1.4306504374710347E-2</v>
      </c>
      <c r="BJ196" s="3">
        <f t="shared" si="87"/>
        <v>1.5047422477585884E-2</v>
      </c>
    </row>
    <row r="197" spans="1:62" ht="13.5" x14ac:dyDescent="0.2">
      <c r="A197" s="28">
        <v>44439</v>
      </c>
      <c r="B197" s="29">
        <v>301.32873499999999</v>
      </c>
      <c r="C197" s="29">
        <v>151.608734</v>
      </c>
      <c r="D197" s="29">
        <v>3470.790039</v>
      </c>
      <c r="E197" s="29">
        <v>2893.9499510000001</v>
      </c>
      <c r="F197" s="29">
        <v>735.71997099999999</v>
      </c>
      <c r="G197" s="29">
        <v>2909.23999</v>
      </c>
      <c r="H197" s="29">
        <v>379.38000499999998</v>
      </c>
      <c r="I197" s="29">
        <v>223.82260099999999</v>
      </c>
      <c r="J197" s="29">
        <v>285.76998900000001</v>
      </c>
      <c r="K197" s="29">
        <v>158.991928</v>
      </c>
      <c r="L197" s="26">
        <v>4522.68</v>
      </c>
      <c r="N197" s="3">
        <f t="shared" si="89"/>
        <v>-1.6569988414946775E-4</v>
      </c>
      <c r="O197" s="3">
        <f t="shared" si="90"/>
        <v>4.468641127251401E-3</v>
      </c>
      <c r="P197" s="3">
        <f t="shared" si="91"/>
        <v>2.3626511802545347E-3</v>
      </c>
      <c r="Q197" s="3">
        <f t="shared" si="92"/>
        <v>3.5735268880985015E-3</v>
      </c>
      <c r="R197" s="3">
        <f t="shared" si="93"/>
        <v>-2.2178984635689031E-3</v>
      </c>
      <c r="S197" s="3">
        <f t="shared" si="94"/>
        <v>2.6089934258736449E-3</v>
      </c>
      <c r="T197" s="3">
        <f t="shared" si="95"/>
        <v>7.0131042060990433E-3</v>
      </c>
      <c r="U197" s="3">
        <f t="shared" si="96"/>
        <v>2.4985091035161335E-3</v>
      </c>
      <c r="V197" s="3">
        <f t="shared" si="97"/>
        <v>-1.7861728332313059E-3</v>
      </c>
      <c r="W197" s="3">
        <f t="shared" si="98"/>
        <v>-1.438982052771197E-3</v>
      </c>
      <c r="X197" s="3">
        <f t="shared" si="99"/>
        <v>3.1171346489786849E-4</v>
      </c>
      <c r="AK197" s="3"/>
      <c r="AL197" s="8"/>
      <c r="AW197" s="3"/>
      <c r="AY197" s="5"/>
      <c r="AZ197" s="28">
        <v>44435</v>
      </c>
      <c r="BA197" s="3">
        <f t="shared" si="88"/>
        <v>192</v>
      </c>
      <c r="BB197" s="3">
        <f t="shared" ref="BB197:BB260" si="100">SUMPRODUCT(B195:K195*EWS)</f>
        <v>1.4384491172275331</v>
      </c>
      <c r="BC197" s="3">
        <f t="shared" ref="BC197:BC260" si="101">SUMPRODUCT(B195:K195*RE)</f>
        <v>1.416700834044798</v>
      </c>
      <c r="BD197" s="3">
        <f t="shared" ref="BD197:BD260" si="102">SUMPRODUCT(B195:K195*EWP)</f>
        <v>2.4992272704031291</v>
      </c>
      <c r="BE197" s="3">
        <f t="shared" ref="BE197:BE260" si="103">SUMPRODUCT(B195:K195*DRP)</f>
        <v>1.6490057780737388</v>
      </c>
      <c r="BG197" s="3">
        <f t="shared" si="84"/>
        <v>9.8863239460471007E-3</v>
      </c>
      <c r="BH197" s="3">
        <f t="shared" si="85"/>
        <v>8.1142502084778356E-3</v>
      </c>
      <c r="BI197" s="3">
        <f t="shared" si="86"/>
        <v>1.6336794869915579E-2</v>
      </c>
      <c r="BJ197" s="3">
        <f t="shared" si="87"/>
        <v>2.4698382477056642E-2</v>
      </c>
    </row>
    <row r="198" spans="1:62" ht="13.5" x14ac:dyDescent="0.2">
      <c r="A198" s="28">
        <v>44440</v>
      </c>
      <c r="B198" s="29">
        <v>301.27880900000002</v>
      </c>
      <c r="C198" s="29">
        <v>152.287735</v>
      </c>
      <c r="D198" s="29">
        <v>3479</v>
      </c>
      <c r="E198" s="29">
        <v>2904.3100589999999</v>
      </c>
      <c r="F198" s="29">
        <v>734.09002699999996</v>
      </c>
      <c r="G198" s="29">
        <v>2916.8400879999999</v>
      </c>
      <c r="H198" s="29">
        <v>382.04998799999998</v>
      </c>
      <c r="I198" s="29">
        <v>224.38252299999999</v>
      </c>
      <c r="J198" s="29">
        <v>285.26001000000002</v>
      </c>
      <c r="K198" s="29">
        <v>158.763306</v>
      </c>
      <c r="L198" s="26">
        <v>4524.09</v>
      </c>
      <c r="N198" s="3">
        <f t="shared" si="89"/>
        <v>-2.255511361705315E-3</v>
      </c>
      <c r="O198" s="3">
        <f t="shared" si="90"/>
        <v>7.44710404700436E-3</v>
      </c>
      <c r="P198" s="3">
        <f t="shared" si="91"/>
        <v>-4.5749455295172499E-3</v>
      </c>
      <c r="Q198" s="3">
        <f t="shared" si="92"/>
        <v>-1.3369257861701744E-2</v>
      </c>
      <c r="R198" s="3">
        <f t="shared" si="93"/>
        <v>-2.3184942349491326E-3</v>
      </c>
      <c r="S198" s="3">
        <f t="shared" si="94"/>
        <v>-1.1190937054612942E-2</v>
      </c>
      <c r="T198" s="3">
        <f t="shared" si="95"/>
        <v>-1.787904732854834E-2</v>
      </c>
      <c r="U198" s="3">
        <f t="shared" si="96"/>
        <v>-2.0072317039021479E-3</v>
      </c>
      <c r="V198" s="3">
        <f t="shared" si="97"/>
        <v>-7.3651877130196926E-4</v>
      </c>
      <c r="W198" s="3">
        <f t="shared" si="98"/>
        <v>4.6224862913298945E-3</v>
      </c>
      <c r="X198" s="3">
        <f t="shared" si="99"/>
        <v>2.8385281677768184E-3</v>
      </c>
      <c r="AK198" s="3"/>
      <c r="AL198" s="8"/>
      <c r="AW198" s="3"/>
      <c r="AY198" s="5"/>
      <c r="AZ198" s="28">
        <v>44438</v>
      </c>
      <c r="BA198" s="3">
        <f t="shared" si="88"/>
        <v>193</v>
      </c>
      <c r="BB198" s="3">
        <f t="shared" si="100"/>
        <v>1.4527406199899553</v>
      </c>
      <c r="BC198" s="3">
        <f t="shared" si="101"/>
        <v>1.4282430640244912</v>
      </c>
      <c r="BD198" s="3">
        <f t="shared" si="102"/>
        <v>2.5403919677249456</v>
      </c>
      <c r="BE198" s="3">
        <f t="shared" si="103"/>
        <v>1.6902406749946124</v>
      </c>
      <c r="BG198" s="3">
        <f t="shared" ref="BG198:BG255" si="104">LN(BB199/BB198)</f>
        <v>-1.6440648858621542E-3</v>
      </c>
      <c r="BH198" s="3">
        <f t="shared" ref="BH198:BH255" si="105">LN(BC199/BC198)</f>
        <v>-1.4728522526941683E-3</v>
      </c>
      <c r="BI198" s="3">
        <f t="shared" ref="BI198:BI255" si="106">LN(BD199/BD198)</f>
        <v>-1.7102213615338814E-3</v>
      </c>
      <c r="BJ198" s="3">
        <f t="shared" ref="BJ198:BJ255" si="107">LN(BE199/BE198)</f>
        <v>-1.0304120477952665E-3</v>
      </c>
    </row>
    <row r="199" spans="1:62" ht="13.5" x14ac:dyDescent="0.2">
      <c r="A199" s="28">
        <v>44441</v>
      </c>
      <c r="B199" s="29">
        <v>300.60003699999999</v>
      </c>
      <c r="C199" s="29">
        <v>153.42607100000001</v>
      </c>
      <c r="D199" s="29">
        <v>3463.1201169999999</v>
      </c>
      <c r="E199" s="29">
        <v>2865.73999</v>
      </c>
      <c r="F199" s="29">
        <v>732.39001499999995</v>
      </c>
      <c r="G199" s="29">
        <v>2884.3798830000001</v>
      </c>
      <c r="H199" s="29">
        <v>375.27999899999998</v>
      </c>
      <c r="I199" s="29">
        <v>223.93258700000001</v>
      </c>
      <c r="J199" s="29">
        <v>285.04998799999998</v>
      </c>
      <c r="K199" s="29">
        <v>159.498886</v>
      </c>
      <c r="L199" s="26">
        <v>4536.95</v>
      </c>
      <c r="N199" s="3">
        <f t="shared" si="89"/>
        <v>-3.3097682703709772E-5</v>
      </c>
      <c r="O199" s="3">
        <f t="shared" si="90"/>
        <v>4.221537694025744E-3</v>
      </c>
      <c r="P199" s="3">
        <f t="shared" si="91"/>
        <v>4.301855355028715E-3</v>
      </c>
      <c r="Q199" s="3">
        <f t="shared" si="92"/>
        <v>3.1530386399803425E-3</v>
      </c>
      <c r="R199" s="3">
        <f t="shared" si="93"/>
        <v>1.6098559812465377E-3</v>
      </c>
      <c r="S199" s="3">
        <f t="shared" si="94"/>
        <v>3.8478760616508264E-3</v>
      </c>
      <c r="T199" s="3">
        <f t="shared" si="95"/>
        <v>2.6080090048255008E-3</v>
      </c>
      <c r="U199" s="3">
        <f t="shared" si="96"/>
        <v>1.9762279343205968E-2</v>
      </c>
      <c r="V199" s="3">
        <f t="shared" si="97"/>
        <v>-1.1147584248791758E-2</v>
      </c>
      <c r="W199" s="3">
        <f t="shared" si="98"/>
        <v>-6.0634536890104207E-3</v>
      </c>
      <c r="X199" s="3">
        <f t="shared" si="99"/>
        <v>-3.3508296923669389E-4</v>
      </c>
      <c r="AK199" s="3"/>
      <c r="AL199" s="8"/>
      <c r="AW199" s="3"/>
      <c r="AY199" s="5"/>
      <c r="AZ199" s="28">
        <v>44439</v>
      </c>
      <c r="BA199" s="3">
        <f t="shared" si="88"/>
        <v>194</v>
      </c>
      <c r="BB199" s="3">
        <f t="shared" si="100"/>
        <v>1.4503541824150088</v>
      </c>
      <c r="BC199" s="3">
        <f t="shared" si="101"/>
        <v>1.4261410213893588</v>
      </c>
      <c r="BD199" s="3">
        <f t="shared" si="102"/>
        <v>2.5360510481398224</v>
      </c>
      <c r="BE199" s="3">
        <f t="shared" si="103"/>
        <v>1.6884999276369688</v>
      </c>
      <c r="BG199" s="3">
        <f t="shared" si="104"/>
        <v>1.7306743911109917E-3</v>
      </c>
      <c r="BH199" s="3">
        <f t="shared" si="105"/>
        <v>1.5750318117226647E-3</v>
      </c>
      <c r="BI199" s="3">
        <f t="shared" si="106"/>
        <v>1.3673626460703095E-3</v>
      </c>
      <c r="BJ199" s="3">
        <f t="shared" si="107"/>
        <v>6.9612479447984119E-4</v>
      </c>
    </row>
    <row r="200" spans="1:62" ht="13.5" x14ac:dyDescent="0.2">
      <c r="A200" s="28">
        <v>44442</v>
      </c>
      <c r="B200" s="29">
        <v>300.59008799999998</v>
      </c>
      <c r="C200" s="29">
        <v>154.07513399999999</v>
      </c>
      <c r="D200" s="29">
        <v>3478.0500489999999</v>
      </c>
      <c r="E200" s="29">
        <v>2874.790039</v>
      </c>
      <c r="F200" s="29">
        <v>733.57000700000003</v>
      </c>
      <c r="G200" s="29">
        <v>2895.5</v>
      </c>
      <c r="H200" s="29">
        <v>376.26001000000002</v>
      </c>
      <c r="I200" s="29">
        <v>228.40202300000001</v>
      </c>
      <c r="J200" s="29">
        <v>281.89001500000001</v>
      </c>
      <c r="K200" s="29">
        <v>158.53469799999999</v>
      </c>
      <c r="L200" s="26">
        <v>4535.43</v>
      </c>
      <c r="N200" s="3">
        <f t="shared" si="89"/>
        <v>-3.1930985036937197E-3</v>
      </c>
      <c r="O200" s="3">
        <f t="shared" si="90"/>
        <v>1.5370597430208917E-2</v>
      </c>
      <c r="P200" s="3">
        <f t="shared" si="91"/>
        <v>8.9419429323407615E-3</v>
      </c>
      <c r="Q200" s="3">
        <f t="shared" si="92"/>
        <v>3.7567114960598883E-3</v>
      </c>
      <c r="R200" s="3">
        <f t="shared" si="93"/>
        <v>2.6035922449061801E-2</v>
      </c>
      <c r="S200" s="3">
        <f t="shared" si="94"/>
        <v>5.1258089658233396E-3</v>
      </c>
      <c r="T200" s="3">
        <f t="shared" si="95"/>
        <v>1.5611263136897528E-2</v>
      </c>
      <c r="U200" s="3">
        <f t="shared" si="96"/>
        <v>-7.9551661711402145E-3</v>
      </c>
      <c r="V200" s="3">
        <f t="shared" si="97"/>
        <v>-1.0663704010564748E-2</v>
      </c>
      <c r="W200" s="3">
        <f t="shared" si="98"/>
        <v>-1.7571206558152635E-3</v>
      </c>
      <c r="X200" s="3">
        <f t="shared" si="99"/>
        <v>-3.401266163481994E-3</v>
      </c>
      <c r="AK200" s="3"/>
      <c r="AL200" s="8"/>
      <c r="AW200" s="3"/>
      <c r="AY200" s="5"/>
      <c r="AZ200" s="28">
        <v>44440</v>
      </c>
      <c r="BA200" s="3">
        <f t="shared" ref="BA200:BA256" si="108">BA199+1</f>
        <v>195</v>
      </c>
      <c r="BB200" s="3">
        <f t="shared" si="100"/>
        <v>1.4528664465851184</v>
      </c>
      <c r="BC200" s="3">
        <f t="shared" si="101"/>
        <v>1.4283890087271145</v>
      </c>
      <c r="BD200" s="3">
        <f t="shared" si="102"/>
        <v>2.539521121495258</v>
      </c>
      <c r="BE200" s="3">
        <f t="shared" si="103"/>
        <v>1.6896757435118841</v>
      </c>
      <c r="BG200" s="3">
        <f t="shared" si="104"/>
        <v>-4.5406582300635805E-3</v>
      </c>
      <c r="BH200" s="3">
        <f t="shared" si="105"/>
        <v>-4.3134260702025612E-3</v>
      </c>
      <c r="BI200" s="3">
        <f t="shared" si="106"/>
        <v>-2.7051442519025058E-3</v>
      </c>
      <c r="BJ200" s="3">
        <f t="shared" si="107"/>
        <v>-2.1508970299686156E-4</v>
      </c>
    </row>
    <row r="201" spans="1:62" ht="13.5" x14ac:dyDescent="0.2">
      <c r="A201" s="28">
        <v>44446</v>
      </c>
      <c r="B201" s="29">
        <v>299.63180499999999</v>
      </c>
      <c r="C201" s="29">
        <v>156.46165500000001</v>
      </c>
      <c r="D201" s="29">
        <v>3509.290039</v>
      </c>
      <c r="E201" s="29">
        <v>2885.610107</v>
      </c>
      <c r="F201" s="29">
        <v>752.919983</v>
      </c>
      <c r="G201" s="29">
        <v>2910.3798830000001</v>
      </c>
      <c r="H201" s="29">
        <v>382.17999300000002</v>
      </c>
      <c r="I201" s="29">
        <v>226.59225499999999</v>
      </c>
      <c r="J201" s="29">
        <v>278.89999399999999</v>
      </c>
      <c r="K201" s="29">
        <v>158.25637800000001</v>
      </c>
      <c r="L201" s="26">
        <v>4520.03</v>
      </c>
      <c r="N201" s="3">
        <f t="shared" si="89"/>
        <v>9.9910970591405936E-5</v>
      </c>
      <c r="O201" s="3">
        <f t="shared" si="90"/>
        <v>-1.0134791970564239E-2</v>
      </c>
      <c r="P201" s="3">
        <f t="shared" si="91"/>
        <v>4.6085212493010971E-3</v>
      </c>
      <c r="Q201" s="3">
        <f t="shared" si="92"/>
        <v>-4.0941742883351673E-3</v>
      </c>
      <c r="R201" s="3">
        <f t="shared" si="93"/>
        <v>1.2609748402256965E-3</v>
      </c>
      <c r="S201" s="3">
        <f t="shared" si="94"/>
        <v>-4.3766777886972835E-3</v>
      </c>
      <c r="T201" s="3">
        <f t="shared" si="95"/>
        <v>-1.2135682995087913E-2</v>
      </c>
      <c r="U201" s="3">
        <f t="shared" si="96"/>
        <v>-1.4355458218653239E-2</v>
      </c>
      <c r="V201" s="3">
        <f t="shared" si="97"/>
        <v>1.5763904378018445E-3</v>
      </c>
      <c r="W201" s="3">
        <f t="shared" si="98"/>
        <v>-4.4696045056414968E-3</v>
      </c>
      <c r="X201" s="3">
        <f t="shared" si="99"/>
        <v>-1.3194454045593487E-3</v>
      </c>
      <c r="AK201" s="3"/>
      <c r="AL201" s="8"/>
      <c r="AW201" s="3"/>
      <c r="AY201" s="5"/>
      <c r="AZ201" s="28">
        <v>44441</v>
      </c>
      <c r="BA201" s="3">
        <f t="shared" si="108"/>
        <v>196</v>
      </c>
      <c r="BB201" s="3">
        <f t="shared" si="100"/>
        <v>1.4462844312470695</v>
      </c>
      <c r="BC201" s="3">
        <f t="shared" si="101"/>
        <v>1.4222410273024184</v>
      </c>
      <c r="BD201" s="3">
        <f t="shared" si="102"/>
        <v>2.5326606340186335</v>
      </c>
      <c r="BE201" s="3">
        <f t="shared" si="103"/>
        <v>1.6893123507404737</v>
      </c>
      <c r="BG201" s="3">
        <f t="shared" si="104"/>
        <v>2.735428050954003E-3</v>
      </c>
      <c r="BH201" s="3">
        <f t="shared" si="105"/>
        <v>1.0452733246773501E-3</v>
      </c>
      <c r="BI201" s="3">
        <f t="shared" si="106"/>
        <v>6.0000466802491567E-3</v>
      </c>
      <c r="BJ201" s="3">
        <f t="shared" si="107"/>
        <v>9.3937727871008358E-3</v>
      </c>
    </row>
    <row r="202" spans="1:62" ht="13.5" x14ac:dyDescent="0.2">
      <c r="A202" s="28">
        <v>44447</v>
      </c>
      <c r="B202" s="29">
        <v>299.661743</v>
      </c>
      <c r="C202" s="29">
        <v>154.88395700000001</v>
      </c>
      <c r="D202" s="29">
        <v>3525.5</v>
      </c>
      <c r="E202" s="29">
        <v>2873.820068</v>
      </c>
      <c r="F202" s="29">
        <v>753.86999500000002</v>
      </c>
      <c r="G202" s="29">
        <v>2897.669922</v>
      </c>
      <c r="H202" s="29">
        <v>377.57000699999998</v>
      </c>
      <c r="I202" s="29">
        <v>223.36265599999999</v>
      </c>
      <c r="J202" s="29">
        <v>279.33999599999999</v>
      </c>
      <c r="K202" s="29">
        <v>157.550613</v>
      </c>
      <c r="L202" s="26">
        <v>4514.07</v>
      </c>
      <c r="N202" s="3">
        <f t="shared" si="89"/>
        <v>-9.9085751767994563E-3</v>
      </c>
      <c r="O202" s="3">
        <f t="shared" si="90"/>
        <v>-6.7274889431033075E-3</v>
      </c>
      <c r="P202" s="3">
        <f t="shared" si="91"/>
        <v>-1.1795313273322295E-2</v>
      </c>
      <c r="Q202" s="3">
        <f t="shared" si="92"/>
        <v>-1.04445194187875E-3</v>
      </c>
      <c r="R202" s="3">
        <f t="shared" si="93"/>
        <v>1.3123490024172667E-3</v>
      </c>
      <c r="S202" s="3">
        <f t="shared" si="94"/>
        <v>2.0707530034789012E-4</v>
      </c>
      <c r="T202" s="3">
        <f t="shared" si="95"/>
        <v>1.1381951174272813E-3</v>
      </c>
      <c r="U202" s="3">
        <f t="shared" si="96"/>
        <v>-7.2782928808528286E-3</v>
      </c>
      <c r="V202" s="3">
        <f t="shared" si="97"/>
        <v>-2.6167629408318329E-3</v>
      </c>
      <c r="W202" s="3">
        <f t="shared" si="98"/>
        <v>4.343870231009894E-3</v>
      </c>
      <c r="X202" s="3">
        <f t="shared" si="99"/>
        <v>-4.6162382762889205E-3</v>
      </c>
      <c r="AK202" s="3"/>
      <c r="AL202" s="8"/>
      <c r="AW202" s="3"/>
      <c r="AY202" s="5"/>
      <c r="AZ202" s="28">
        <v>44442</v>
      </c>
      <c r="BA202" s="3">
        <f t="shared" si="108"/>
        <v>197</v>
      </c>
      <c r="BB202" s="3">
        <f t="shared" si="100"/>
        <v>1.450246054146906</v>
      </c>
      <c r="BC202" s="3">
        <f t="shared" si="101"/>
        <v>1.4237284351479631</v>
      </c>
      <c r="BD202" s="3">
        <f t="shared" si="102"/>
        <v>2.5479023959635843</v>
      </c>
      <c r="BE202" s="3">
        <f t="shared" si="103"/>
        <v>1.7052561360342431</v>
      </c>
      <c r="BG202" s="3">
        <f t="shared" si="104"/>
        <v>4.9996198552753352E-3</v>
      </c>
      <c r="BH202" s="3">
        <f t="shared" si="105"/>
        <v>3.0759943288281651E-3</v>
      </c>
      <c r="BI202" s="3">
        <f t="shared" si="106"/>
        <v>9.1750110602369633E-3</v>
      </c>
      <c r="BJ202" s="3">
        <f t="shared" si="107"/>
        <v>1.5154589421148721E-2</v>
      </c>
    </row>
    <row r="203" spans="1:62" ht="13.5" x14ac:dyDescent="0.2">
      <c r="A203" s="28">
        <v>44448</v>
      </c>
      <c r="B203" s="29">
        <v>296.70718399999998</v>
      </c>
      <c r="C203" s="29">
        <v>153.845474</v>
      </c>
      <c r="D203" s="29">
        <v>3484.1599120000001</v>
      </c>
      <c r="E203" s="29">
        <v>2870.820068</v>
      </c>
      <c r="F203" s="29">
        <v>754.85998500000005</v>
      </c>
      <c r="G203" s="29">
        <v>2898.2700199999999</v>
      </c>
      <c r="H203" s="29">
        <v>378</v>
      </c>
      <c r="I203" s="29">
        <v>221.74285900000001</v>
      </c>
      <c r="J203" s="29">
        <v>278.60998499999999</v>
      </c>
      <c r="K203" s="29">
        <v>158.236481</v>
      </c>
      <c r="L203" s="26">
        <v>4493.28</v>
      </c>
      <c r="N203" s="3">
        <f t="shared" si="89"/>
        <v>-5.1943360615668089E-3</v>
      </c>
      <c r="O203" s="3">
        <f t="shared" si="90"/>
        <v>-3.3662149759321913E-2</v>
      </c>
      <c r="P203" s="3">
        <f t="shared" si="91"/>
        <v>-4.3173779730080169E-3</v>
      </c>
      <c r="Q203" s="3">
        <f t="shared" si="92"/>
        <v>-1.8740654438690406E-2</v>
      </c>
      <c r="R203" s="3">
        <f t="shared" si="93"/>
        <v>-2.4935355273160938E-2</v>
      </c>
      <c r="S203" s="3">
        <f t="shared" si="94"/>
        <v>-2.0866482309735618E-2</v>
      </c>
      <c r="T203" s="3">
        <f t="shared" si="95"/>
        <v>1.8237380946569978E-3</v>
      </c>
      <c r="U203" s="3">
        <f t="shared" si="96"/>
        <v>1.3481254438960694E-2</v>
      </c>
      <c r="V203" s="3">
        <f t="shared" si="97"/>
        <v>-3.6316503708438896E-3</v>
      </c>
      <c r="W203" s="3">
        <f t="shared" si="98"/>
        <v>-1.1562234477588333E-2</v>
      </c>
      <c r="X203" s="3">
        <f t="shared" si="99"/>
        <v>-7.7526176231305427E-3</v>
      </c>
      <c r="AK203" s="3"/>
      <c r="AL203" s="8"/>
      <c r="AW203" s="3"/>
      <c r="AY203" s="5"/>
      <c r="AZ203" s="28">
        <v>44446</v>
      </c>
      <c r="BA203" s="3">
        <f t="shared" si="108"/>
        <v>198</v>
      </c>
      <c r="BB203" s="3">
        <f t="shared" si="100"/>
        <v>1.4575148886778799</v>
      </c>
      <c r="BC203" s="3">
        <f t="shared" si="101"/>
        <v>1.4281145581266108</v>
      </c>
      <c r="BD203" s="3">
        <f t="shared" si="102"/>
        <v>2.5713869996302638</v>
      </c>
      <c r="BE203" s="3">
        <f t="shared" si="103"/>
        <v>1.7312954014723443</v>
      </c>
      <c r="BG203" s="3">
        <f t="shared" si="104"/>
        <v>-4.5712696964055896E-3</v>
      </c>
      <c r="BH203" s="3">
        <f t="shared" si="105"/>
        <v>-3.8562169396619723E-3</v>
      </c>
      <c r="BI203" s="3">
        <f t="shared" si="106"/>
        <v>-4.4548322442652631E-3</v>
      </c>
      <c r="BJ203" s="3">
        <f t="shared" si="107"/>
        <v>-3.8537568359949541E-3</v>
      </c>
    </row>
    <row r="204" spans="1:62" ht="13.5" x14ac:dyDescent="0.2">
      <c r="A204" s="28">
        <v>44449</v>
      </c>
      <c r="B204" s="29">
        <v>295.169983</v>
      </c>
      <c r="C204" s="29">
        <v>148.75289900000001</v>
      </c>
      <c r="D204" s="29">
        <v>3469.1499020000001</v>
      </c>
      <c r="E204" s="29">
        <v>2817.5200199999999</v>
      </c>
      <c r="F204" s="29">
        <v>736.27002000000005</v>
      </c>
      <c r="G204" s="29">
        <v>2838.419922</v>
      </c>
      <c r="H204" s="29">
        <v>378.69000199999999</v>
      </c>
      <c r="I204" s="29">
        <v>224.75247200000001</v>
      </c>
      <c r="J204" s="29">
        <v>277.60000600000001</v>
      </c>
      <c r="K204" s="29">
        <v>156.41745</v>
      </c>
      <c r="L204" s="26">
        <v>4458.58</v>
      </c>
      <c r="N204" s="3">
        <f t="shared" si="89"/>
        <v>4.319178313320942E-3</v>
      </c>
      <c r="O204" s="3">
        <f t="shared" si="90"/>
        <v>3.8858970063193718E-3</v>
      </c>
      <c r="P204" s="3">
        <f t="shared" si="91"/>
        <v>-3.4592661762585446E-3</v>
      </c>
      <c r="Q204" s="3">
        <f t="shared" si="92"/>
        <v>1.0285757391249204E-2</v>
      </c>
      <c r="R204" s="3">
        <f t="shared" si="93"/>
        <v>9.0991182710601238E-3</v>
      </c>
      <c r="S204" s="3">
        <f t="shared" si="94"/>
        <v>1.082058280935806E-2</v>
      </c>
      <c r="T204" s="3">
        <f t="shared" si="95"/>
        <v>-5.7732998423321771E-3</v>
      </c>
      <c r="U204" s="3">
        <f t="shared" si="96"/>
        <v>-1.4609187046516E-2</v>
      </c>
      <c r="V204" s="3">
        <f t="shared" si="97"/>
        <v>8.3226442547897923E-3</v>
      </c>
      <c r="W204" s="3">
        <f t="shared" si="98"/>
        <v>1.5762197839266565E-2</v>
      </c>
      <c r="X204" s="3">
        <f t="shared" si="99"/>
        <v>2.273922239413449E-3</v>
      </c>
      <c r="AK204" s="3"/>
      <c r="AL204" s="8"/>
      <c r="AW204" s="3"/>
      <c r="AY204" s="5"/>
      <c r="AZ204" s="28">
        <v>44447</v>
      </c>
      <c r="BA204" s="3">
        <f t="shared" si="108"/>
        <v>199</v>
      </c>
      <c r="BB204" s="3">
        <f t="shared" si="100"/>
        <v>1.4508674003419699</v>
      </c>
      <c r="BC204" s="3">
        <f t="shared" si="101"/>
        <v>1.4226180432639302</v>
      </c>
      <c r="BD204" s="3">
        <f t="shared" si="102"/>
        <v>2.5599573793345765</v>
      </c>
      <c r="BE204" s="3">
        <f t="shared" si="103"/>
        <v>1.7246362496013146</v>
      </c>
      <c r="BG204" s="3">
        <f t="shared" si="104"/>
        <v>-3.0124335975006814E-3</v>
      </c>
      <c r="BH204" s="3">
        <f t="shared" si="105"/>
        <v>-3.17526531691974E-3</v>
      </c>
      <c r="BI204" s="3">
        <f t="shared" si="106"/>
        <v>-4.3229062543207099E-3</v>
      </c>
      <c r="BJ204" s="3">
        <f t="shared" si="107"/>
        <v>-5.578232102777872E-3</v>
      </c>
    </row>
    <row r="205" spans="1:62" ht="13.5" x14ac:dyDescent="0.2">
      <c r="A205" s="28">
        <v>44452</v>
      </c>
      <c r="B205" s="29">
        <v>296.447632</v>
      </c>
      <c r="C205" s="29">
        <v>149.33206200000001</v>
      </c>
      <c r="D205" s="29">
        <v>3457.169922</v>
      </c>
      <c r="E205" s="29">
        <v>2846.6499020000001</v>
      </c>
      <c r="F205" s="29">
        <v>743</v>
      </c>
      <c r="G205" s="29">
        <v>2869.3000489999999</v>
      </c>
      <c r="H205" s="29">
        <v>376.51001000000002</v>
      </c>
      <c r="I205" s="29">
        <v>221.49288899999999</v>
      </c>
      <c r="J205" s="29">
        <v>279.92001299999998</v>
      </c>
      <c r="K205" s="29">
        <v>158.902466</v>
      </c>
      <c r="L205" s="26">
        <v>4468.7299999999996</v>
      </c>
      <c r="N205" s="3">
        <f t="shared" si="89"/>
        <v>9.3838796578274101E-3</v>
      </c>
      <c r="O205" s="3">
        <f t="shared" si="90"/>
        <v>-9.608143478879257E-3</v>
      </c>
      <c r="P205" s="3">
        <f t="shared" si="91"/>
        <v>-2.0760817111010015E-3</v>
      </c>
      <c r="Q205" s="3">
        <f t="shared" si="92"/>
        <v>1.4883588128431346E-3</v>
      </c>
      <c r="R205" s="3">
        <f t="shared" si="93"/>
        <v>2.0033620506375261E-3</v>
      </c>
      <c r="S205" s="3">
        <f t="shared" si="94"/>
        <v>-4.1131100128489643E-4</v>
      </c>
      <c r="T205" s="3">
        <f t="shared" si="95"/>
        <v>5.3088812721141048E-5</v>
      </c>
      <c r="U205" s="3">
        <f t="shared" si="96"/>
        <v>4.0545272538712925E-3</v>
      </c>
      <c r="V205" s="3">
        <f t="shared" si="97"/>
        <v>-9.7645838954814306E-3</v>
      </c>
      <c r="W205" s="3">
        <f t="shared" si="98"/>
        <v>-1.7606748631398984E-2</v>
      </c>
      <c r="X205" s="3">
        <f t="shared" si="99"/>
        <v>-5.7631743778016721E-3</v>
      </c>
      <c r="AK205" s="3"/>
      <c r="AL205" s="8"/>
      <c r="AW205" s="3"/>
      <c r="AY205" s="5"/>
      <c r="AZ205" s="28">
        <v>44448</v>
      </c>
      <c r="BA205" s="3">
        <f t="shared" si="108"/>
        <v>200</v>
      </c>
      <c r="BB205" s="3">
        <f t="shared" si="100"/>
        <v>1.446503335168172</v>
      </c>
      <c r="BC205" s="3">
        <f t="shared" si="101"/>
        <v>1.4181080175852769</v>
      </c>
      <c r="BD205" s="3">
        <f t="shared" si="102"/>
        <v>2.5489148087638633</v>
      </c>
      <c r="BE205" s="3">
        <f t="shared" si="103"/>
        <v>1.71504261095654</v>
      </c>
      <c r="BG205" s="3">
        <f t="shared" si="104"/>
        <v>-1.070627052204047E-2</v>
      </c>
      <c r="BH205" s="3">
        <f t="shared" si="105"/>
        <v>-1.0720779700825587E-2</v>
      </c>
      <c r="BI205" s="3">
        <f t="shared" si="106"/>
        <v>-1.390344578558286E-2</v>
      </c>
      <c r="BJ205" s="3">
        <f t="shared" si="107"/>
        <v>-1.8116306146444078E-2</v>
      </c>
    </row>
    <row r="206" spans="1:62" ht="13.5" x14ac:dyDescent="0.2">
      <c r="A206" s="28">
        <v>44453</v>
      </c>
      <c r="B206" s="29">
        <v>299.24255399999998</v>
      </c>
      <c r="C206" s="29">
        <v>147.90412900000001</v>
      </c>
      <c r="D206" s="29">
        <v>3450</v>
      </c>
      <c r="E206" s="29">
        <v>2850.889893</v>
      </c>
      <c r="F206" s="29">
        <v>744.48999000000003</v>
      </c>
      <c r="G206" s="29">
        <v>2868.1201169999999</v>
      </c>
      <c r="H206" s="29">
        <v>376.52999899999998</v>
      </c>
      <c r="I206" s="29">
        <v>222.39276100000001</v>
      </c>
      <c r="J206" s="29">
        <v>277.20001200000002</v>
      </c>
      <c r="K206" s="29">
        <v>156.12919600000001</v>
      </c>
      <c r="L206" s="26">
        <v>4443.05</v>
      </c>
      <c r="N206" s="3">
        <f t="shared" si="89"/>
        <v>1.6639203244138583E-2</v>
      </c>
      <c r="O206" s="3">
        <f t="shared" si="90"/>
        <v>6.1248869650899485E-3</v>
      </c>
      <c r="P206" s="3">
        <f t="shared" si="91"/>
        <v>7.4475714860574973E-3</v>
      </c>
      <c r="Q206" s="3">
        <f t="shared" si="92"/>
        <v>1.3137335558272706E-2</v>
      </c>
      <c r="R206" s="3">
        <f t="shared" si="93"/>
        <v>1.5117098891560821E-2</v>
      </c>
      <c r="S206" s="3">
        <f t="shared" si="94"/>
        <v>1.2473655050927481E-2</v>
      </c>
      <c r="T206" s="3">
        <f t="shared" si="95"/>
        <v>-6.9558171272913498E-3</v>
      </c>
      <c r="U206" s="3">
        <f t="shared" si="96"/>
        <v>4.4411854657113179E-3</v>
      </c>
      <c r="V206" s="3">
        <f t="shared" si="97"/>
        <v>3.5290504096300423E-3</v>
      </c>
      <c r="W206" s="3">
        <f t="shared" si="98"/>
        <v>6.9155798398442322E-3</v>
      </c>
      <c r="X206" s="3">
        <f t="shared" si="99"/>
        <v>8.4382066732456781E-3</v>
      </c>
      <c r="AK206" s="3"/>
      <c r="AL206" s="8"/>
      <c r="AW206" s="3"/>
      <c r="AY206" s="5"/>
      <c r="AZ206" s="28">
        <v>44449</v>
      </c>
      <c r="BA206" s="3">
        <f t="shared" si="108"/>
        <v>201</v>
      </c>
      <c r="BB206" s="3">
        <f t="shared" si="100"/>
        <v>1.4310992862477536</v>
      </c>
      <c r="BC206" s="3">
        <f t="shared" si="101"/>
        <v>1.4029859986906783</v>
      </c>
      <c r="BD206" s="3">
        <f t="shared" si="102"/>
        <v>2.5137213321287968</v>
      </c>
      <c r="BE206" s="3">
        <f t="shared" si="103"/>
        <v>1.6842521210497297</v>
      </c>
      <c r="BG206" s="3">
        <f t="shared" si="104"/>
        <v>3.829430961933705E-3</v>
      </c>
      <c r="BH206" s="3">
        <f t="shared" si="105"/>
        <v>4.9917553717142137E-3</v>
      </c>
      <c r="BI206" s="3">
        <f t="shared" si="106"/>
        <v>2.3680156974524697E-3</v>
      </c>
      <c r="BJ206" s="3">
        <f t="shared" si="107"/>
        <v>9.3852518253441657E-4</v>
      </c>
    </row>
    <row r="207" spans="1:62" ht="13.5" x14ac:dyDescent="0.2">
      <c r="A207" s="28">
        <v>44454</v>
      </c>
      <c r="B207" s="29">
        <v>304.26336700000002</v>
      </c>
      <c r="C207" s="29">
        <v>148.812805</v>
      </c>
      <c r="D207" s="29">
        <v>3475.790039</v>
      </c>
      <c r="E207" s="29">
        <v>2888.5900879999999</v>
      </c>
      <c r="F207" s="29">
        <v>755.830017</v>
      </c>
      <c r="G207" s="29">
        <v>2904.1201169999999</v>
      </c>
      <c r="H207" s="29">
        <v>373.92001299999998</v>
      </c>
      <c r="I207" s="29">
        <v>223.382645</v>
      </c>
      <c r="J207" s="29">
        <v>278.17999300000002</v>
      </c>
      <c r="K207" s="29">
        <v>157.21266199999999</v>
      </c>
      <c r="L207" s="26">
        <v>4480.7</v>
      </c>
      <c r="N207" s="3">
        <f t="shared" si="89"/>
        <v>1.3113615135329924E-3</v>
      </c>
      <c r="O207" s="3">
        <f t="shared" si="90"/>
        <v>-1.6117375218555946E-3</v>
      </c>
      <c r="P207" s="3">
        <f t="shared" si="91"/>
        <v>3.5755056229652819E-3</v>
      </c>
      <c r="Q207" s="3">
        <f t="shared" si="92"/>
        <v>-5.6902546746889623E-3</v>
      </c>
      <c r="R207" s="3">
        <f t="shared" si="93"/>
        <v>1.5335244403937205E-3</v>
      </c>
      <c r="S207" s="3">
        <f t="shared" si="94"/>
        <v>-5.7497825702909813E-3</v>
      </c>
      <c r="T207" s="3">
        <f t="shared" si="95"/>
        <v>-2.302646301993564E-3</v>
      </c>
      <c r="U207" s="3">
        <f t="shared" si="96"/>
        <v>-4.4411854657112736E-3</v>
      </c>
      <c r="V207" s="3">
        <f t="shared" si="97"/>
        <v>-2.4113564074409424E-3</v>
      </c>
      <c r="W207" s="3">
        <f t="shared" si="98"/>
        <v>-4.4278500398167318E-4</v>
      </c>
      <c r="X207" s="3">
        <f t="shared" si="99"/>
        <v>-1.5523011230354105E-3</v>
      </c>
      <c r="AK207" s="3"/>
      <c r="AL207" s="8"/>
      <c r="AW207" s="3"/>
      <c r="AY207" s="5"/>
      <c r="AZ207" s="28">
        <v>44452</v>
      </c>
      <c r="BA207" s="3">
        <f t="shared" si="108"/>
        <v>202</v>
      </c>
      <c r="BB207" s="3">
        <f t="shared" si="100"/>
        <v>1.4365900887787142</v>
      </c>
      <c r="BC207" s="3">
        <f t="shared" si="101"/>
        <v>1.4100068702441153</v>
      </c>
      <c r="BD207" s="3">
        <f t="shared" si="102"/>
        <v>2.5196809171128316</v>
      </c>
      <c r="BE207" s="3">
        <f t="shared" si="103"/>
        <v>1.6858335760806749</v>
      </c>
      <c r="BG207" s="3">
        <f t="shared" si="104"/>
        <v>-1.824848230473077E-3</v>
      </c>
      <c r="BH207" s="3">
        <f t="shared" si="105"/>
        <v>-2.6851265252718351E-3</v>
      </c>
      <c r="BI207" s="3">
        <f t="shared" si="106"/>
        <v>1.0167793849893945E-3</v>
      </c>
      <c r="BJ207" s="3">
        <f t="shared" si="107"/>
        <v>3.96749833381768E-3</v>
      </c>
    </row>
    <row r="208" spans="1:62" ht="13.5" x14ac:dyDescent="0.2">
      <c r="A208" s="28">
        <v>44455</v>
      </c>
      <c r="B208" s="29">
        <v>304.66262799999998</v>
      </c>
      <c r="C208" s="29">
        <v>148.573151</v>
      </c>
      <c r="D208" s="29">
        <v>3488.23999</v>
      </c>
      <c r="E208" s="29">
        <v>2872.1999510000001</v>
      </c>
      <c r="F208" s="29">
        <v>756.98999000000003</v>
      </c>
      <c r="G208" s="29">
        <v>2887.469971</v>
      </c>
      <c r="H208" s="29">
        <v>373.05999800000001</v>
      </c>
      <c r="I208" s="29">
        <v>222.39276100000001</v>
      </c>
      <c r="J208" s="29">
        <v>277.51001000000002</v>
      </c>
      <c r="K208" s="29">
        <v>157.143066</v>
      </c>
      <c r="L208" s="26">
        <v>4473.75</v>
      </c>
      <c r="N208" s="3">
        <f t="shared" si="89"/>
        <v>-1.7683813416683705E-2</v>
      </c>
      <c r="O208" s="3">
        <f t="shared" si="90"/>
        <v>-1.8518369917669392E-2</v>
      </c>
      <c r="P208" s="3">
        <f t="shared" si="91"/>
        <v>-7.4006547060911599E-3</v>
      </c>
      <c r="Q208" s="3">
        <f t="shared" si="92"/>
        <v>-1.9760831288491935E-2</v>
      </c>
      <c r="R208" s="3">
        <f t="shared" si="93"/>
        <v>3.2971121251208291E-3</v>
      </c>
      <c r="S208" s="3">
        <f t="shared" si="94"/>
        <v>-2.0361941221043716E-2</v>
      </c>
      <c r="T208" s="3">
        <f t="shared" si="95"/>
        <v>-2.2609320608333264E-2</v>
      </c>
      <c r="U208" s="3">
        <f t="shared" si="96"/>
        <v>-1.5495710155024878E-2</v>
      </c>
      <c r="V208" s="3">
        <f t="shared" si="97"/>
        <v>-2.7062638449810309E-3</v>
      </c>
      <c r="W208" s="3">
        <f t="shared" si="98"/>
        <v>-2.5968463508153827E-3</v>
      </c>
      <c r="X208" s="3">
        <f t="shared" si="99"/>
        <v>-9.1526831464338165E-3</v>
      </c>
      <c r="AK208" s="3"/>
      <c r="AL208" s="8"/>
      <c r="AW208" s="3"/>
      <c r="AY208" s="5"/>
      <c r="AZ208" s="28">
        <v>44453</v>
      </c>
      <c r="BA208" s="3">
        <f t="shared" si="108"/>
        <v>203</v>
      </c>
      <c r="BB208" s="3">
        <f t="shared" si="100"/>
        <v>1.4339709204165014</v>
      </c>
      <c r="BC208" s="3">
        <f t="shared" si="101"/>
        <v>1.4062259018569625</v>
      </c>
      <c r="BD208" s="3">
        <f t="shared" si="102"/>
        <v>2.5222441796415183</v>
      </c>
      <c r="BE208" s="3">
        <f t="shared" si="103"/>
        <v>1.6925354039391554</v>
      </c>
      <c r="BG208" s="3">
        <f t="shared" si="104"/>
        <v>8.1689464794277508E-3</v>
      </c>
      <c r="BH208" s="3">
        <f t="shared" si="105"/>
        <v>8.1286936912200632E-3</v>
      </c>
      <c r="BI208" s="3">
        <f t="shared" si="106"/>
        <v>1.0929491972323879E-2</v>
      </c>
      <c r="BJ208" s="3">
        <f t="shared" si="107"/>
        <v>1.410175455833E-2</v>
      </c>
    </row>
    <row r="209" spans="1:62" ht="13.5" x14ac:dyDescent="0.2">
      <c r="A209" s="28">
        <v>44456</v>
      </c>
      <c r="B209" s="29">
        <v>299.32238799999999</v>
      </c>
      <c r="C209" s="29">
        <v>145.847137</v>
      </c>
      <c r="D209" s="29">
        <v>3462.5200199999999</v>
      </c>
      <c r="E209" s="29">
        <v>2816</v>
      </c>
      <c r="F209" s="29">
        <v>759.48999000000003</v>
      </c>
      <c r="G209" s="29">
        <v>2829.2700199999999</v>
      </c>
      <c r="H209" s="29">
        <v>364.72000100000002</v>
      </c>
      <c r="I209" s="29">
        <v>218.97318999999999</v>
      </c>
      <c r="J209" s="29">
        <v>276.76001000000002</v>
      </c>
      <c r="K209" s="29">
        <v>156.73551900000001</v>
      </c>
      <c r="L209" s="26">
        <v>4432.99</v>
      </c>
      <c r="N209" s="3">
        <f t="shared" si="89"/>
        <v>-1.8749449142753439E-2</v>
      </c>
      <c r="O209" s="3">
        <f t="shared" si="90"/>
        <v>-2.1592499260960265E-2</v>
      </c>
      <c r="P209" s="3">
        <f t="shared" si="91"/>
        <v>-3.1327326957848033E-2</v>
      </c>
      <c r="Q209" s="3">
        <f t="shared" si="92"/>
        <v>-1.4886573648172842E-2</v>
      </c>
      <c r="R209" s="3">
        <f t="shared" si="93"/>
        <v>-3.9369781764528496E-2</v>
      </c>
      <c r="S209" s="3">
        <f t="shared" si="94"/>
        <v>-1.7445480885787176E-2</v>
      </c>
      <c r="T209" s="3">
        <f t="shared" si="95"/>
        <v>-2.5042225956311719E-2</v>
      </c>
      <c r="U209" s="3">
        <f t="shared" si="96"/>
        <v>-3.6597660218778201E-2</v>
      </c>
      <c r="V209" s="3">
        <f t="shared" si="97"/>
        <v>-9.2929298711095371E-3</v>
      </c>
      <c r="W209" s="3">
        <f t="shared" si="98"/>
        <v>-3.0391102622442202E-2</v>
      </c>
      <c r="X209" s="3">
        <f t="shared" si="99"/>
        <v>-1.7123020373769459E-2</v>
      </c>
      <c r="AK209" s="3"/>
      <c r="AL209" s="8"/>
      <c r="AW209" s="3"/>
      <c r="AY209" s="5"/>
      <c r="AZ209" s="28">
        <v>44454</v>
      </c>
      <c r="BA209" s="3">
        <f t="shared" si="108"/>
        <v>204</v>
      </c>
      <c r="BB209" s="3">
        <f t="shared" si="100"/>
        <v>1.4457329283168077</v>
      </c>
      <c r="BC209" s="3">
        <f t="shared" si="101"/>
        <v>1.417703266265848</v>
      </c>
      <c r="BD209" s="3">
        <f t="shared" si="102"/>
        <v>2.5499622233047616</v>
      </c>
      <c r="BE209" s="3">
        <f t="shared" si="103"/>
        <v>1.7165722049937124</v>
      </c>
      <c r="BG209" s="3">
        <f t="shared" si="104"/>
        <v>-1.8753173987174437E-3</v>
      </c>
      <c r="BH209" s="3">
        <f t="shared" si="105"/>
        <v>-1.9139799561694007E-3</v>
      </c>
      <c r="BI209" s="3">
        <f t="shared" si="106"/>
        <v>-1.1483670407245832E-3</v>
      </c>
      <c r="BJ209" s="3">
        <f t="shared" si="107"/>
        <v>3.6807466293677365E-5</v>
      </c>
    </row>
    <row r="210" spans="1:62" ht="13.5" x14ac:dyDescent="0.2">
      <c r="A210" s="28">
        <v>44459</v>
      </c>
      <c r="B210" s="29">
        <v>293.76254299999999</v>
      </c>
      <c r="C210" s="29">
        <v>142.73168899999999</v>
      </c>
      <c r="D210" s="29">
        <v>3355.7299800000001</v>
      </c>
      <c r="E210" s="29">
        <v>2774.389893</v>
      </c>
      <c r="F210" s="29">
        <v>730.169983</v>
      </c>
      <c r="G210" s="29">
        <v>2780.3400879999999</v>
      </c>
      <c r="H210" s="29">
        <v>355.70001200000002</v>
      </c>
      <c r="I210" s="29">
        <v>211.10415599999999</v>
      </c>
      <c r="J210" s="29">
        <v>274.20001200000002</v>
      </c>
      <c r="K210" s="29">
        <v>152.04380800000001</v>
      </c>
      <c r="L210" s="26">
        <v>4357.7299999999996</v>
      </c>
      <c r="N210" s="3">
        <f t="shared" si="89"/>
        <v>1.697495257183384E-3</v>
      </c>
      <c r="O210" s="3">
        <f t="shared" si="90"/>
        <v>3.4220663739237718E-3</v>
      </c>
      <c r="P210" s="3">
        <f t="shared" si="91"/>
        <v>-3.6123183125344343E-3</v>
      </c>
      <c r="Q210" s="3">
        <f t="shared" si="92"/>
        <v>2.2574133023901947E-3</v>
      </c>
      <c r="R210" s="3">
        <f t="shared" si="93"/>
        <v>1.2534643479565968E-2</v>
      </c>
      <c r="S210" s="3">
        <f t="shared" si="94"/>
        <v>4.517945611808601E-3</v>
      </c>
      <c r="T210" s="3">
        <f t="shared" si="95"/>
        <v>4.9917345934392182E-3</v>
      </c>
      <c r="U210" s="3">
        <f t="shared" si="96"/>
        <v>6.2796628007697093E-3</v>
      </c>
      <c r="V210" s="3">
        <f t="shared" si="97"/>
        <v>-3.7269179412744474E-3</v>
      </c>
      <c r="W210" s="3">
        <f t="shared" si="98"/>
        <v>1.3065775187271221E-4</v>
      </c>
      <c r="X210" s="3">
        <f t="shared" si="99"/>
        <v>-8.1267968365917188E-4</v>
      </c>
      <c r="AK210" s="3"/>
      <c r="AL210" s="8"/>
      <c r="AW210" s="3"/>
      <c r="AY210" s="5"/>
      <c r="AZ210" s="28">
        <v>44455</v>
      </c>
      <c r="BA210" s="3">
        <f t="shared" si="108"/>
        <v>205</v>
      </c>
      <c r="BB210" s="3">
        <f t="shared" si="100"/>
        <v>1.443024260801919</v>
      </c>
      <c r="BC210" s="3">
        <f t="shared" si="101"/>
        <v>1.4149924057243517</v>
      </c>
      <c r="BD210" s="3">
        <f t="shared" si="102"/>
        <v>2.5470356114663355</v>
      </c>
      <c r="BE210" s="3">
        <f t="shared" si="103"/>
        <v>1.7166353888300996</v>
      </c>
      <c r="BG210" s="3">
        <f t="shared" si="104"/>
        <v>-1.269030196623472E-2</v>
      </c>
      <c r="BH210" s="3">
        <f t="shared" si="105"/>
        <v>-1.2890804080497262E-2</v>
      </c>
      <c r="BI210" s="3">
        <f t="shared" si="106"/>
        <v>-1.1387815009764619E-2</v>
      </c>
      <c r="BJ210" s="3">
        <f t="shared" si="107"/>
        <v>-8.5712410770842212E-3</v>
      </c>
    </row>
    <row r="211" spans="1:62" ht="13.5" x14ac:dyDescent="0.2">
      <c r="A211" s="28">
        <v>44460</v>
      </c>
      <c r="B211" s="29">
        <v>294.26162699999998</v>
      </c>
      <c r="C211" s="29">
        <v>143.22096300000001</v>
      </c>
      <c r="D211" s="29">
        <v>3343.6298830000001</v>
      </c>
      <c r="E211" s="29">
        <v>2780.6599120000001</v>
      </c>
      <c r="F211" s="29">
        <v>739.38000499999998</v>
      </c>
      <c r="G211" s="29">
        <v>2792.929932</v>
      </c>
      <c r="H211" s="29">
        <v>357.48001099999999</v>
      </c>
      <c r="I211" s="29">
        <v>212.43398999999999</v>
      </c>
      <c r="J211" s="29">
        <v>273.17999300000002</v>
      </c>
      <c r="K211" s="29">
        <v>152.06367499999999</v>
      </c>
      <c r="L211" s="26">
        <v>4354.1899999999996</v>
      </c>
      <c r="N211" s="3">
        <f t="shared" si="89"/>
        <v>1.274076060515199E-2</v>
      </c>
      <c r="O211" s="3">
        <f t="shared" si="90"/>
        <v>1.6731687616767781E-2</v>
      </c>
      <c r="P211" s="3">
        <f t="shared" si="91"/>
        <v>1.0833508605931182E-2</v>
      </c>
      <c r="Q211" s="3">
        <f t="shared" si="92"/>
        <v>8.9540638815234393E-3</v>
      </c>
      <c r="R211" s="3">
        <f t="shared" si="93"/>
        <v>1.6844532251904049E-2</v>
      </c>
      <c r="S211" s="3">
        <f t="shared" si="94"/>
        <v>9.2094270375204582E-3</v>
      </c>
      <c r="T211" s="3">
        <f t="shared" si="95"/>
        <v>-4.0736968788700201E-2</v>
      </c>
      <c r="U211" s="3">
        <f t="shared" si="96"/>
        <v>3.2188430597512661E-2</v>
      </c>
      <c r="V211" s="3">
        <f t="shared" si="97"/>
        <v>3.2526808028888179E-3</v>
      </c>
      <c r="W211" s="3">
        <f t="shared" si="98"/>
        <v>1.8971789723271862E-2</v>
      </c>
      <c r="X211" s="3">
        <f t="shared" si="99"/>
        <v>9.4745406640912491E-3</v>
      </c>
      <c r="AK211" s="3"/>
      <c r="AL211" s="8"/>
      <c r="AW211" s="3"/>
      <c r="AY211" s="5"/>
      <c r="AZ211" s="28">
        <v>44456</v>
      </c>
      <c r="BA211" s="3">
        <f t="shared" si="108"/>
        <v>206</v>
      </c>
      <c r="BB211" s="3">
        <f t="shared" si="100"/>
        <v>1.4248275522557423</v>
      </c>
      <c r="BC211" s="3">
        <f t="shared" si="101"/>
        <v>1.3968690789405425</v>
      </c>
      <c r="BD211" s="3">
        <f t="shared" si="102"/>
        <v>2.5181949687279483</v>
      </c>
      <c r="BE211" s="3">
        <f t="shared" si="103"/>
        <v>1.7019845706132921</v>
      </c>
      <c r="BG211" s="3">
        <f t="shared" si="104"/>
        <v>-2.4629866496542047E-2</v>
      </c>
      <c r="BH211" s="3">
        <f t="shared" si="105"/>
        <v>-2.2163795778171562E-2</v>
      </c>
      <c r="BI211" s="3">
        <f t="shared" si="106"/>
        <v>-2.9118574610780264E-2</v>
      </c>
      <c r="BJ211" s="3">
        <f t="shared" si="107"/>
        <v>-3.5248016795531252E-2</v>
      </c>
    </row>
    <row r="212" spans="1:62" ht="13.5" x14ac:dyDescent="0.2">
      <c r="A212" s="28">
        <v>44461</v>
      </c>
      <c r="B212" s="29">
        <v>298.03472900000003</v>
      </c>
      <c r="C212" s="29">
        <v>145.637451</v>
      </c>
      <c r="D212" s="29">
        <v>3380.0500489999999</v>
      </c>
      <c r="E212" s="29">
        <v>2805.669922</v>
      </c>
      <c r="F212" s="29">
        <v>751.94000200000005</v>
      </c>
      <c r="G212" s="29">
        <v>2818.7700199999999</v>
      </c>
      <c r="H212" s="29">
        <v>343.209991</v>
      </c>
      <c r="I212" s="29">
        <v>219.38314800000001</v>
      </c>
      <c r="J212" s="29">
        <v>274.07000699999998</v>
      </c>
      <c r="K212" s="29">
        <v>154.976135</v>
      </c>
      <c r="L212" s="26">
        <v>4395.6400000000003</v>
      </c>
      <c r="N212" s="3">
        <f t="shared" si="89"/>
        <v>3.2768267183035499E-3</v>
      </c>
      <c r="O212" s="3">
        <f t="shared" si="90"/>
        <v>6.6967938964252955E-3</v>
      </c>
      <c r="P212" s="3">
        <f t="shared" si="91"/>
        <v>1.0579759144574815E-2</v>
      </c>
      <c r="Q212" s="3">
        <f t="shared" si="92"/>
        <v>6.6253099040457213E-3</v>
      </c>
      <c r="R212" s="3">
        <f t="shared" si="93"/>
        <v>2.2582841207883855E-3</v>
      </c>
      <c r="S212" s="3">
        <f t="shared" si="94"/>
        <v>6.2808576842561595E-3</v>
      </c>
      <c r="T212" s="3">
        <f t="shared" si="95"/>
        <v>7.9806569282999864E-3</v>
      </c>
      <c r="U212" s="3">
        <f t="shared" si="96"/>
        <v>2.4357930091981821E-2</v>
      </c>
      <c r="V212" s="3">
        <f t="shared" si="97"/>
        <v>1.4669083499461983E-2</v>
      </c>
      <c r="W212" s="3">
        <f t="shared" si="98"/>
        <v>3.3242742123508792E-2</v>
      </c>
      <c r="X212" s="3">
        <f t="shared" si="99"/>
        <v>1.2061715863250257E-2</v>
      </c>
      <c r="AK212" s="3"/>
      <c r="AL212" s="8"/>
      <c r="AW212" s="3"/>
      <c r="AY212" s="5"/>
      <c r="AZ212" s="28">
        <v>44459</v>
      </c>
      <c r="BA212" s="3">
        <f t="shared" si="108"/>
        <v>207</v>
      </c>
      <c r="BB212" s="3">
        <f t="shared" si="100"/>
        <v>1.3901628852916197</v>
      </c>
      <c r="BC212" s="3">
        <f t="shared" si="101"/>
        <v>1.3662497318519615</v>
      </c>
      <c r="BD212" s="3">
        <f t="shared" si="102"/>
        <v>2.4459260114390284</v>
      </c>
      <c r="BE212" s="3">
        <f t="shared" si="103"/>
        <v>1.6430379682214635</v>
      </c>
      <c r="BG212" s="3">
        <f t="shared" si="104"/>
        <v>3.216674868062114E-3</v>
      </c>
      <c r="BH212" s="3">
        <f t="shared" si="105"/>
        <v>2.00659967955478E-3</v>
      </c>
      <c r="BI212" s="3">
        <f t="shared" si="106"/>
        <v>5.728429205332443E-3</v>
      </c>
      <c r="BJ212" s="3">
        <f t="shared" si="107"/>
        <v>8.8680353969967617E-3</v>
      </c>
    </row>
    <row r="213" spans="1:62" ht="13.5" x14ac:dyDescent="0.2">
      <c r="A213" s="28">
        <v>44462</v>
      </c>
      <c r="B213" s="29">
        <v>299.01293900000002</v>
      </c>
      <c r="C213" s="29">
        <v>146.616028</v>
      </c>
      <c r="D213" s="29">
        <v>3416</v>
      </c>
      <c r="E213" s="29">
        <v>2824.320068</v>
      </c>
      <c r="F213" s="29">
        <v>753.64001499999995</v>
      </c>
      <c r="G213" s="29">
        <v>2836.530029</v>
      </c>
      <c r="H213" s="29">
        <v>345.959991</v>
      </c>
      <c r="I213" s="29">
        <v>224.79248000000001</v>
      </c>
      <c r="J213" s="29">
        <v>278.11999500000002</v>
      </c>
      <c r="K213" s="29">
        <v>160.21455399999999</v>
      </c>
      <c r="L213" s="26">
        <v>4448.9799999999996</v>
      </c>
      <c r="N213" s="3">
        <f t="shared" si="89"/>
        <v>-7.0119872675730027E-4</v>
      </c>
      <c r="O213" s="3">
        <f t="shared" si="90"/>
        <v>6.1269886916609072E-4</v>
      </c>
      <c r="P213" s="3">
        <f t="shared" si="91"/>
        <v>2.7830149196917974E-3</v>
      </c>
      <c r="Q213" s="3">
        <f t="shared" si="92"/>
        <v>7.0493571017409343E-3</v>
      </c>
      <c r="R213" s="3">
        <f t="shared" si="93"/>
        <v>2.7160821712733332E-2</v>
      </c>
      <c r="S213" s="3">
        <f t="shared" si="94"/>
        <v>5.6703771138485286E-3</v>
      </c>
      <c r="T213" s="3">
        <f t="shared" si="95"/>
        <v>2.0031575142754623E-2</v>
      </c>
      <c r="U213" s="3">
        <f t="shared" si="96"/>
        <v>-1.7997532520209449E-2</v>
      </c>
      <c r="V213" s="3">
        <f t="shared" si="97"/>
        <v>-8.9929682672398154E-4</v>
      </c>
      <c r="W213" s="3">
        <f t="shared" si="98"/>
        <v>1.1473835976717405E-2</v>
      </c>
      <c r="X213" s="3">
        <f t="shared" si="99"/>
        <v>1.4599428049598621E-3</v>
      </c>
      <c r="AK213" s="3"/>
      <c r="AL213" s="8"/>
      <c r="AW213" s="3"/>
      <c r="AY213" s="5"/>
      <c r="AZ213" s="28">
        <v>44460</v>
      </c>
      <c r="BA213" s="3">
        <f t="shared" si="108"/>
        <v>208</v>
      </c>
      <c r="BB213" s="3">
        <f t="shared" si="100"/>
        <v>1.3946417870306489</v>
      </c>
      <c r="BC213" s="3">
        <f t="shared" si="101"/>
        <v>1.3689940005296088</v>
      </c>
      <c r="BD213" s="3">
        <f t="shared" si="102"/>
        <v>2.4599775335870424</v>
      </c>
      <c r="BE213" s="3">
        <f t="shared" si="103"/>
        <v>1.65767328442083</v>
      </c>
      <c r="BG213" s="3">
        <f t="shared" si="104"/>
        <v>9.6810819972830281E-3</v>
      </c>
      <c r="BH213" s="3">
        <f t="shared" si="105"/>
        <v>8.6809264593466426E-3</v>
      </c>
      <c r="BI213" s="3">
        <f t="shared" si="106"/>
        <v>1.7288049409729687E-2</v>
      </c>
      <c r="BJ213" s="3">
        <f t="shared" si="107"/>
        <v>2.5889378475007253E-2</v>
      </c>
    </row>
    <row r="214" spans="1:62" ht="13.5" x14ac:dyDescent="0.2">
      <c r="A214" s="28">
        <v>44463</v>
      </c>
      <c r="B214" s="29">
        <v>298.80334499999998</v>
      </c>
      <c r="C214" s="29">
        <v>146.70588699999999</v>
      </c>
      <c r="D214" s="29">
        <v>3425.5200199999999</v>
      </c>
      <c r="E214" s="29">
        <v>2844.3000489999999</v>
      </c>
      <c r="F214" s="29">
        <v>774.39001499999995</v>
      </c>
      <c r="G214" s="29">
        <v>2852.6599120000001</v>
      </c>
      <c r="H214" s="29">
        <v>352.959991</v>
      </c>
      <c r="I214" s="29">
        <v>220.78295900000001</v>
      </c>
      <c r="J214" s="29">
        <v>277.86999500000002</v>
      </c>
      <c r="K214" s="29">
        <v>162.06341599999999</v>
      </c>
      <c r="L214" s="26">
        <v>4455.4799999999996</v>
      </c>
      <c r="N214" s="3">
        <f t="shared" si="89"/>
        <v>-1.7455596580358463E-2</v>
      </c>
      <c r="O214" s="3">
        <f t="shared" si="90"/>
        <v>-1.0606031266164816E-2</v>
      </c>
      <c r="P214" s="3">
        <f t="shared" si="91"/>
        <v>-5.7734158484263982E-3</v>
      </c>
      <c r="Q214" s="3">
        <f t="shared" si="92"/>
        <v>-8.0696368321059083E-3</v>
      </c>
      <c r="R214" s="3">
        <f t="shared" si="93"/>
        <v>2.1677323352405527E-2</v>
      </c>
      <c r="S214" s="3">
        <f t="shared" si="94"/>
        <v>-7.9680756456870106E-3</v>
      </c>
      <c r="T214" s="3">
        <f t="shared" si="95"/>
        <v>1.7550207445937336E-3</v>
      </c>
      <c r="U214" s="3">
        <f t="shared" si="96"/>
        <v>-1.9250215880623107E-2</v>
      </c>
      <c r="V214" s="3">
        <f t="shared" si="97"/>
        <v>6.6357459844278901E-3</v>
      </c>
      <c r="W214" s="3">
        <f t="shared" si="98"/>
        <v>2.3878547477047211E-2</v>
      </c>
      <c r="X214" s="3">
        <f t="shared" si="99"/>
        <v>-2.7802175328761427E-3</v>
      </c>
      <c r="AK214" s="3"/>
      <c r="AL214" s="8"/>
      <c r="AW214" s="3"/>
      <c r="AY214" s="5"/>
      <c r="AZ214" s="28">
        <v>44461</v>
      </c>
      <c r="BA214" s="3">
        <f t="shared" si="108"/>
        <v>209</v>
      </c>
      <c r="BB214" s="3">
        <f t="shared" si="100"/>
        <v>1.4082089951915537</v>
      </c>
      <c r="BC214" s="3">
        <f t="shared" si="101"/>
        <v>1.3809298690141121</v>
      </c>
      <c r="BD214" s="3">
        <f t="shared" si="102"/>
        <v>2.5028754892956595</v>
      </c>
      <c r="BE214" s="3">
        <f t="shared" si="103"/>
        <v>1.7011497768000374</v>
      </c>
      <c r="BG214" s="3">
        <f t="shared" si="104"/>
        <v>1.1675073746903113E-2</v>
      </c>
      <c r="BH214" s="3">
        <f t="shared" si="105"/>
        <v>1.1857752821492705E-2</v>
      </c>
      <c r="BI214" s="3">
        <f t="shared" si="106"/>
        <v>8.8238975491703731E-3</v>
      </c>
      <c r="BJ214" s="3">
        <f t="shared" si="107"/>
        <v>5.5314348302153843E-3</v>
      </c>
    </row>
    <row r="215" spans="1:62" ht="13.5" x14ac:dyDescent="0.2">
      <c r="A215" s="28">
        <v>44466</v>
      </c>
      <c r="B215" s="29">
        <v>293.632813</v>
      </c>
      <c r="C215" s="29">
        <v>145.158142</v>
      </c>
      <c r="D215" s="29">
        <v>3405.8000489999999</v>
      </c>
      <c r="E215" s="29">
        <v>2821.4399410000001</v>
      </c>
      <c r="F215" s="29">
        <v>791.35998500000005</v>
      </c>
      <c r="G215" s="29">
        <v>2830.0200199999999</v>
      </c>
      <c r="H215" s="29">
        <v>353.57998700000002</v>
      </c>
      <c r="I215" s="29">
        <v>216.573486</v>
      </c>
      <c r="J215" s="29">
        <v>279.72000100000002</v>
      </c>
      <c r="K215" s="29">
        <v>165.979828</v>
      </c>
      <c r="L215" s="26">
        <v>4443.1099999999997</v>
      </c>
      <c r="N215" s="3">
        <f t="shared" si="89"/>
        <v>-3.6875280990992208E-2</v>
      </c>
      <c r="O215" s="3">
        <f t="shared" si="90"/>
        <v>-2.4089152028368883E-2</v>
      </c>
      <c r="P215" s="3">
        <f t="shared" si="91"/>
        <v>-2.6732712284771722E-2</v>
      </c>
      <c r="Q215" s="3">
        <f t="shared" si="92"/>
        <v>-3.786623752445973E-2</v>
      </c>
      <c r="R215" s="3">
        <f t="shared" si="93"/>
        <v>-1.759215645657717E-2</v>
      </c>
      <c r="S215" s="3">
        <f t="shared" si="94"/>
        <v>-3.8299903717170333E-2</v>
      </c>
      <c r="T215" s="3">
        <f t="shared" si="95"/>
        <v>-3.7254191704800127E-2</v>
      </c>
      <c r="U215" s="3">
        <f t="shared" si="96"/>
        <v>-4.5381858217558066E-2</v>
      </c>
      <c r="V215" s="3">
        <f t="shared" si="97"/>
        <v>-1.0529977971762089E-2</v>
      </c>
      <c r="W215" s="3">
        <f t="shared" si="98"/>
        <v>-5.4044374836614449E-3</v>
      </c>
      <c r="X215" s="3">
        <f t="shared" si="99"/>
        <v>-2.0574321587474437E-2</v>
      </c>
      <c r="AK215" s="3"/>
      <c r="AL215" s="8"/>
      <c r="AW215" s="3"/>
      <c r="AY215" s="5"/>
      <c r="AZ215" s="28">
        <v>44462</v>
      </c>
      <c r="BA215" s="3">
        <f t="shared" si="108"/>
        <v>210</v>
      </c>
      <c r="BB215" s="3">
        <f t="shared" si="100"/>
        <v>1.4247462882738369</v>
      </c>
      <c r="BC215" s="3">
        <f t="shared" si="101"/>
        <v>1.3974020626576233</v>
      </c>
      <c r="BD215" s="3">
        <f t="shared" si="102"/>
        <v>2.5250583318247983</v>
      </c>
      <c r="BE215" s="3">
        <f t="shared" si="103"/>
        <v>1.7105856488235016</v>
      </c>
      <c r="BG215" s="3">
        <f t="shared" si="104"/>
        <v>5.3695287560737237E-3</v>
      </c>
      <c r="BH215" s="3">
        <f t="shared" si="105"/>
        <v>4.5323733778352962E-3</v>
      </c>
      <c r="BI215" s="3">
        <f t="shared" si="106"/>
        <v>5.6876702410385343E-3</v>
      </c>
      <c r="BJ215" s="3">
        <f t="shared" si="107"/>
        <v>7.4585302563848497E-3</v>
      </c>
    </row>
    <row r="216" spans="1:62" ht="13.5" x14ac:dyDescent="0.2">
      <c r="A216" s="28">
        <v>44467</v>
      </c>
      <c r="B216" s="29">
        <v>283.002228</v>
      </c>
      <c r="C216" s="29">
        <v>141.70318599999999</v>
      </c>
      <c r="D216" s="29">
        <v>3315.959961</v>
      </c>
      <c r="E216" s="29">
        <v>2716.6000979999999</v>
      </c>
      <c r="F216" s="29">
        <v>777.55999799999995</v>
      </c>
      <c r="G216" s="29">
        <v>2723.679932</v>
      </c>
      <c r="H216" s="29">
        <v>340.64999399999999</v>
      </c>
      <c r="I216" s="29">
        <v>206.96466100000001</v>
      </c>
      <c r="J216" s="29">
        <v>276.790009</v>
      </c>
      <c r="K216" s="29">
        <v>165.08521999999999</v>
      </c>
      <c r="L216" s="26">
        <v>4352.63</v>
      </c>
      <c r="N216" s="3">
        <f t="shared" si="89"/>
        <v>1.6915798779471155E-3</v>
      </c>
      <c r="O216" s="3">
        <f t="shared" si="90"/>
        <v>6.4621405643560384E-3</v>
      </c>
      <c r="P216" s="3">
        <f t="shared" si="91"/>
        <v>-4.4853224395678872E-3</v>
      </c>
      <c r="Q216" s="3">
        <f t="shared" si="92"/>
        <v>-1.0929728521967573E-2</v>
      </c>
      <c r="R216" s="3">
        <f t="shared" si="93"/>
        <v>4.8111866200754349E-3</v>
      </c>
      <c r="S216" s="3">
        <f t="shared" si="94"/>
        <v>-1.2286595854530834E-2</v>
      </c>
      <c r="T216" s="3">
        <f t="shared" si="95"/>
        <v>-3.0576833634089065E-3</v>
      </c>
      <c r="U216" s="3">
        <f t="shared" si="96"/>
        <v>-8.8315879066398466E-3</v>
      </c>
      <c r="V216" s="3">
        <f t="shared" si="97"/>
        <v>1.8047939628822287E-3</v>
      </c>
      <c r="W216" s="3">
        <f t="shared" si="98"/>
        <v>-7.8309011797396194E-4</v>
      </c>
      <c r="X216" s="3">
        <f t="shared" si="99"/>
        <v>1.5679363733049781E-3</v>
      </c>
      <c r="AK216" s="3"/>
      <c r="AL216" s="8"/>
      <c r="AW216" s="3"/>
      <c r="AY216" s="5"/>
      <c r="AZ216" s="28">
        <v>44463</v>
      </c>
      <c r="BA216" s="3">
        <f t="shared" si="108"/>
        <v>211</v>
      </c>
      <c r="BB216" s="3">
        <f t="shared" si="100"/>
        <v>1.4324170802777114</v>
      </c>
      <c r="BC216" s="3">
        <f t="shared" si="101"/>
        <v>1.403749985275486</v>
      </c>
      <c r="BD216" s="3">
        <f t="shared" si="102"/>
        <v>2.5394609508027308</v>
      </c>
      <c r="BE216" s="3">
        <f t="shared" si="103"/>
        <v>1.723391801814377</v>
      </c>
      <c r="BG216" s="3">
        <f t="shared" si="104"/>
        <v>-1.5808926371581665E-3</v>
      </c>
      <c r="BH216" s="3">
        <f t="shared" si="105"/>
        <v>-1.9320375569352685E-3</v>
      </c>
      <c r="BI216" s="3">
        <f t="shared" si="106"/>
        <v>-3.0354903087087865E-3</v>
      </c>
      <c r="BJ216" s="3">
        <f t="shared" si="107"/>
        <v>-2.6073142374636168E-3</v>
      </c>
    </row>
    <row r="217" spans="1:62" ht="13.5" x14ac:dyDescent="0.2">
      <c r="A217" s="28">
        <v>44468</v>
      </c>
      <c r="B217" s="29">
        <v>283.48135400000001</v>
      </c>
      <c r="C217" s="29">
        <v>142.62185700000001</v>
      </c>
      <c r="D217" s="29">
        <v>3301.1201169999999</v>
      </c>
      <c r="E217" s="29">
        <v>2687.070068</v>
      </c>
      <c r="F217" s="29">
        <v>781.30999799999995</v>
      </c>
      <c r="G217" s="29">
        <v>2690.419922</v>
      </c>
      <c r="H217" s="29">
        <v>339.60998499999999</v>
      </c>
      <c r="I217" s="29">
        <v>205.144882</v>
      </c>
      <c r="J217" s="29">
        <v>277.290009</v>
      </c>
      <c r="K217" s="29">
        <v>164.955994</v>
      </c>
      <c r="L217" s="26">
        <v>4359.46</v>
      </c>
      <c r="N217" s="3">
        <f t="shared" si="89"/>
        <v>-7.3507907034608046E-3</v>
      </c>
      <c r="O217" s="3">
        <f t="shared" si="90"/>
        <v>-9.3554102171462018E-3</v>
      </c>
      <c r="P217" s="3">
        <f t="shared" si="91"/>
        <v>-4.8829999786859299E-3</v>
      </c>
      <c r="Q217" s="3">
        <f t="shared" si="92"/>
        <v>-5.0554422689755296E-3</v>
      </c>
      <c r="R217" s="3">
        <f t="shared" si="93"/>
        <v>-7.4898288613106448E-3</v>
      </c>
      <c r="S217" s="3">
        <f t="shared" si="94"/>
        <v>-9.3768905725729098E-3</v>
      </c>
      <c r="T217" s="3">
        <f t="shared" si="95"/>
        <v>-6.4792343945616613E-4</v>
      </c>
      <c r="U217" s="3">
        <f t="shared" si="96"/>
        <v>9.6525649403851471E-3</v>
      </c>
      <c r="V217" s="3">
        <f t="shared" si="97"/>
        <v>-1.5811924264204389E-2</v>
      </c>
      <c r="W217" s="3">
        <f t="shared" si="98"/>
        <v>-1.3712124142723093E-2</v>
      </c>
      <c r="X217" s="3">
        <f t="shared" si="99"/>
        <v>-1.1981220973814677E-2</v>
      </c>
      <c r="AK217" s="3"/>
      <c r="AL217" s="8"/>
      <c r="AW217" s="3"/>
      <c r="AY217" s="5"/>
      <c r="AZ217" s="28">
        <v>44466</v>
      </c>
      <c r="BA217" s="3">
        <f t="shared" si="108"/>
        <v>212</v>
      </c>
      <c r="BB217" s="3">
        <f t="shared" si="100"/>
        <v>1.4301543716830902</v>
      </c>
      <c r="BC217" s="3">
        <f t="shared" si="101"/>
        <v>1.4010405058342283</v>
      </c>
      <c r="BD217" s="3">
        <f t="shared" si="102"/>
        <v>2.5317641294205857</v>
      </c>
      <c r="BE217" s="3">
        <f t="shared" si="103"/>
        <v>1.7189042306291413</v>
      </c>
      <c r="BG217" s="3">
        <f t="shared" si="104"/>
        <v>-2.8477178193663522E-2</v>
      </c>
      <c r="BH217" s="3">
        <f t="shared" si="105"/>
        <v>-2.7262454508796E-2</v>
      </c>
      <c r="BI217" s="3">
        <f t="shared" si="106"/>
        <v>-3.0511768158078271E-2</v>
      </c>
      <c r="BJ217" s="3">
        <f t="shared" si="107"/>
        <v>-3.1293830259713711E-2</v>
      </c>
    </row>
    <row r="218" spans="1:62" ht="13.5" x14ac:dyDescent="0.2">
      <c r="A218" s="28">
        <v>44469</v>
      </c>
      <c r="B218" s="29">
        <v>281.40518200000002</v>
      </c>
      <c r="C218" s="29">
        <v>141.29379299999999</v>
      </c>
      <c r="D218" s="29">
        <v>3285.040039</v>
      </c>
      <c r="E218" s="29">
        <v>2673.5200199999999</v>
      </c>
      <c r="F218" s="29">
        <v>775.47997999999995</v>
      </c>
      <c r="G218" s="29">
        <v>2665.3100589999999</v>
      </c>
      <c r="H218" s="29">
        <v>339.39001500000001</v>
      </c>
      <c r="I218" s="29">
        <v>207.13464400000001</v>
      </c>
      <c r="J218" s="29">
        <v>272.94000199999999</v>
      </c>
      <c r="K218" s="29">
        <v>162.70953399999999</v>
      </c>
      <c r="L218" s="26">
        <v>4307.54</v>
      </c>
      <c r="N218" s="3">
        <f t="shared" si="89"/>
        <v>2.5149242155389953E-2</v>
      </c>
      <c r="O218" s="3">
        <f t="shared" si="90"/>
        <v>8.0942966013099974E-3</v>
      </c>
      <c r="P218" s="3">
        <f t="shared" si="91"/>
        <v>-5.4200600773341139E-4</v>
      </c>
      <c r="Q218" s="3">
        <f t="shared" si="92"/>
        <v>2.1220653396016271E-2</v>
      </c>
      <c r="R218" s="3">
        <f t="shared" si="93"/>
        <v>-3.3534405191527368E-4</v>
      </c>
      <c r="S218" s="3">
        <f t="shared" si="94"/>
        <v>2.3706450487444672E-2</v>
      </c>
      <c r="T218" s="3">
        <f t="shared" si="95"/>
        <v>1.0609697610148587E-2</v>
      </c>
      <c r="U218" s="3">
        <f t="shared" si="96"/>
        <v>1.2542614680455025E-3</v>
      </c>
      <c r="V218" s="3">
        <f t="shared" si="97"/>
        <v>1.0097557900776925E-2</v>
      </c>
      <c r="W218" s="3">
        <f t="shared" si="98"/>
        <v>2.079760461843657E-2</v>
      </c>
      <c r="X218" s="3">
        <f t="shared" si="99"/>
        <v>1.1425952216359555E-2</v>
      </c>
      <c r="AK218" s="3"/>
      <c r="AL218" s="8"/>
      <c r="AW218" s="3"/>
      <c r="AY218" s="5"/>
      <c r="AZ218" s="28">
        <v>44467</v>
      </c>
      <c r="BA218" s="3">
        <f t="shared" si="108"/>
        <v>213</v>
      </c>
      <c r="BB218" s="3">
        <f t="shared" si="100"/>
        <v>1.3900020368172354</v>
      </c>
      <c r="BC218" s="3">
        <f t="shared" si="101"/>
        <v>1.3633606590727363</v>
      </c>
      <c r="BD218" s="3">
        <f t="shared" si="102"/>
        <v>2.4556821298395186</v>
      </c>
      <c r="BE218" s="3">
        <f t="shared" si="103"/>
        <v>1.6659460867578617</v>
      </c>
      <c r="BG218" s="3">
        <f t="shared" si="104"/>
        <v>-2.8661969513125644E-3</v>
      </c>
      <c r="BH218" s="3">
        <f t="shared" si="105"/>
        <v>-2.7898291958521732E-3</v>
      </c>
      <c r="BI218" s="3">
        <f t="shared" si="106"/>
        <v>-1.3975532232587933E-3</v>
      </c>
      <c r="BJ218" s="3">
        <f t="shared" si="107"/>
        <v>9.2156574725468191E-4</v>
      </c>
    </row>
    <row r="219" spans="1:62" ht="13.5" x14ac:dyDescent="0.2">
      <c r="A219" s="28">
        <v>44470</v>
      </c>
      <c r="B219" s="29">
        <v>288.57205199999999</v>
      </c>
      <c r="C219" s="29">
        <v>142.44210799999999</v>
      </c>
      <c r="D219" s="29">
        <v>3283.26001</v>
      </c>
      <c r="E219" s="29">
        <v>2730.860107</v>
      </c>
      <c r="F219" s="29">
        <v>775.21997099999999</v>
      </c>
      <c r="G219" s="29">
        <v>2729.25</v>
      </c>
      <c r="H219" s="29">
        <v>343.01001000000002</v>
      </c>
      <c r="I219" s="29">
        <v>207.39460800000001</v>
      </c>
      <c r="J219" s="29">
        <v>275.709991</v>
      </c>
      <c r="K219" s="29">
        <v>166.12893700000001</v>
      </c>
      <c r="L219" s="26">
        <v>4357.04</v>
      </c>
      <c r="N219" s="3">
        <f t="shared" si="89"/>
        <v>-2.0937147785476153E-2</v>
      </c>
      <c r="O219" s="3">
        <f t="shared" si="90"/>
        <v>-2.4913445098559459E-2</v>
      </c>
      <c r="P219" s="3">
        <f t="shared" si="91"/>
        <v>-2.8884876294012703E-2</v>
      </c>
      <c r="Q219" s="3">
        <f t="shared" si="92"/>
        <v>-2.1344123344013005E-2</v>
      </c>
      <c r="R219" s="3">
        <f t="shared" si="93"/>
        <v>8.1067513187601681E-3</v>
      </c>
      <c r="S219" s="3">
        <f t="shared" si="94"/>
        <v>-1.9965304270147619E-2</v>
      </c>
      <c r="T219" s="3">
        <f t="shared" si="95"/>
        <v>-5.0156942619208104E-2</v>
      </c>
      <c r="U219" s="3">
        <f t="shared" si="96"/>
        <v>-4.9918903331606777E-2</v>
      </c>
      <c r="V219" s="3">
        <f t="shared" si="97"/>
        <v>-7.5361273290192581E-3</v>
      </c>
      <c r="W219" s="3">
        <f t="shared" si="98"/>
        <v>-1.0776956861638122E-3</v>
      </c>
      <c r="X219" s="3">
        <f t="shared" si="99"/>
        <v>-1.3070933999937525E-2</v>
      </c>
      <c r="AK219" s="3"/>
      <c r="AL219" s="8"/>
      <c r="AW219" s="3"/>
      <c r="AY219" s="5"/>
      <c r="AZ219" s="28">
        <v>44468</v>
      </c>
      <c r="BA219" s="3">
        <f t="shared" si="108"/>
        <v>214</v>
      </c>
      <c r="BB219" s="3">
        <f t="shared" si="100"/>
        <v>1.386023721258471</v>
      </c>
      <c r="BC219" s="3">
        <f t="shared" si="101"/>
        <v>1.3595624163892677</v>
      </c>
      <c r="BD219" s="3">
        <f t="shared" si="102"/>
        <v>2.4522525804107951</v>
      </c>
      <c r="BE219" s="3">
        <f t="shared" si="103"/>
        <v>1.6674820732557556</v>
      </c>
      <c r="BG219" s="3">
        <f t="shared" si="104"/>
        <v>-6.1883928509629859E-3</v>
      </c>
      <c r="BH219" s="3">
        <f t="shared" si="105"/>
        <v>-7.5912173749241021E-3</v>
      </c>
      <c r="BI219" s="3">
        <f t="shared" si="106"/>
        <v>-4.2404739477508021E-3</v>
      </c>
      <c r="BJ219" s="3">
        <f t="shared" si="107"/>
        <v>-2.3511324439911664E-3</v>
      </c>
    </row>
    <row r="220" spans="1:62" ht="13.5" x14ac:dyDescent="0.2">
      <c r="A220" s="28">
        <v>44473</v>
      </c>
      <c r="B220" s="29">
        <v>282.59298699999999</v>
      </c>
      <c r="C220" s="29">
        <v>138.93722500000001</v>
      </c>
      <c r="D220" s="29">
        <v>3189.780029</v>
      </c>
      <c r="E220" s="29">
        <v>2673.1899410000001</v>
      </c>
      <c r="F220" s="29">
        <v>781.53002900000001</v>
      </c>
      <c r="G220" s="29">
        <v>2675.3000489999999</v>
      </c>
      <c r="H220" s="29">
        <v>326.23001099999999</v>
      </c>
      <c r="I220" s="29">
        <v>197.29585299999999</v>
      </c>
      <c r="J220" s="29">
        <v>273.64001500000001</v>
      </c>
      <c r="K220" s="29">
        <v>165.949997</v>
      </c>
      <c r="L220" s="26">
        <v>4300.46</v>
      </c>
      <c r="N220" s="3">
        <f t="shared" si="89"/>
        <v>1.9760475645577657E-2</v>
      </c>
      <c r="O220" s="3">
        <f t="shared" si="90"/>
        <v>1.4059135748508447E-2</v>
      </c>
      <c r="P220" s="3">
        <f t="shared" si="91"/>
        <v>9.7399123562445199E-3</v>
      </c>
      <c r="Q220" s="3">
        <f t="shared" si="92"/>
        <v>1.7528475578558952E-2</v>
      </c>
      <c r="R220" s="3">
        <f t="shared" si="93"/>
        <v>-1.2034953521631113E-3</v>
      </c>
      <c r="S220" s="3">
        <f t="shared" si="94"/>
        <v>1.7870977128904682E-2</v>
      </c>
      <c r="T220" s="3">
        <f t="shared" si="95"/>
        <v>2.0419647820683826E-2</v>
      </c>
      <c r="U220" s="3">
        <f t="shared" si="96"/>
        <v>3.5790009039818292E-2</v>
      </c>
      <c r="V220" s="3">
        <f t="shared" si="97"/>
        <v>1.5987481766523533E-2</v>
      </c>
      <c r="W220" s="3">
        <f t="shared" si="98"/>
        <v>1.619835777459849E-2</v>
      </c>
      <c r="X220" s="3">
        <f t="shared" si="99"/>
        <v>1.0469458977261837E-2</v>
      </c>
      <c r="AK220" s="3"/>
      <c r="AL220" s="8"/>
      <c r="AW220" s="3"/>
      <c r="AY220" s="5"/>
      <c r="AZ220" s="28">
        <v>44469</v>
      </c>
      <c r="BA220" s="3">
        <f t="shared" si="108"/>
        <v>215</v>
      </c>
      <c r="BB220" s="3">
        <f t="shared" si="100"/>
        <v>1.3774729470341103</v>
      </c>
      <c r="BC220" s="3">
        <f t="shared" si="101"/>
        <v>1.3492807570817609</v>
      </c>
      <c r="BD220" s="3">
        <f t="shared" si="102"/>
        <v>2.4418758838351509</v>
      </c>
      <c r="BE220" s="3">
        <f t="shared" si="103"/>
        <v>1.6635662072172464</v>
      </c>
      <c r="BG220" s="3">
        <f t="shared" si="104"/>
        <v>1.2339271691316298E-2</v>
      </c>
      <c r="BH220" s="3">
        <f t="shared" si="105"/>
        <v>1.405318400692537E-2</v>
      </c>
      <c r="BI220" s="3">
        <f t="shared" si="106"/>
        <v>8.5575236552306727E-3</v>
      </c>
      <c r="BJ220" s="3">
        <f t="shared" si="107"/>
        <v>3.1893758823880228E-3</v>
      </c>
    </row>
    <row r="221" spans="1:62" ht="13.5" x14ac:dyDescent="0.2">
      <c r="A221" s="28">
        <v>44474</v>
      </c>
      <c r="B221" s="29">
        <v>288.23269699999997</v>
      </c>
      <c r="C221" s="29">
        <v>140.904358</v>
      </c>
      <c r="D221" s="29">
        <v>3221</v>
      </c>
      <c r="E221" s="29">
        <v>2720.459961</v>
      </c>
      <c r="F221" s="29">
        <v>780.59002699999996</v>
      </c>
      <c r="G221" s="29">
        <v>2723.540039</v>
      </c>
      <c r="H221" s="29">
        <v>332.959991</v>
      </c>
      <c r="I221" s="29">
        <v>204.48495500000001</v>
      </c>
      <c r="J221" s="29">
        <v>278.04998799999998</v>
      </c>
      <c r="K221" s="29">
        <v>168.66000399999999</v>
      </c>
      <c r="L221" s="26">
        <v>4345.72</v>
      </c>
      <c r="N221" s="3">
        <f t="shared" si="89"/>
        <v>1.4951913013964889E-2</v>
      </c>
      <c r="O221" s="3">
        <f t="shared" si="90"/>
        <v>6.2873225645240565E-3</v>
      </c>
      <c r="P221" s="3">
        <f t="shared" si="91"/>
        <v>1.2651702514579881E-2</v>
      </c>
      <c r="Q221" s="3">
        <f t="shared" si="92"/>
        <v>1.1272575740257078E-2</v>
      </c>
      <c r="R221" s="3">
        <f t="shared" si="93"/>
        <v>2.7632816113051977E-3</v>
      </c>
      <c r="S221" s="3">
        <f t="shared" si="94"/>
        <v>8.6060387251524588E-3</v>
      </c>
      <c r="T221" s="3">
        <f t="shared" si="95"/>
        <v>2.0402767169980579E-3</v>
      </c>
      <c r="U221" s="3">
        <f t="shared" si="96"/>
        <v>1.2101943061178125E-2</v>
      </c>
      <c r="V221" s="3">
        <f t="shared" si="97"/>
        <v>7.7741020358435215E-3</v>
      </c>
      <c r="W221" s="3">
        <f t="shared" si="98"/>
        <v>2.1321969193267318E-3</v>
      </c>
      <c r="X221" s="3">
        <f t="shared" si="99"/>
        <v>4.0944935476352412E-3</v>
      </c>
      <c r="AK221" s="3"/>
      <c r="AL221" s="8"/>
      <c r="AW221" s="3"/>
      <c r="AY221" s="5"/>
      <c r="AZ221" s="28">
        <v>44470</v>
      </c>
      <c r="BA221" s="3">
        <f t="shared" si="108"/>
        <v>216</v>
      </c>
      <c r="BB221" s="3">
        <f t="shared" si="100"/>
        <v>1.3945752580099544</v>
      </c>
      <c r="BC221" s="3">
        <f t="shared" si="101"/>
        <v>1.3683763102319175</v>
      </c>
      <c r="BD221" s="3">
        <f t="shared" si="102"/>
        <v>2.4628619608298674</v>
      </c>
      <c r="BE221" s="3">
        <f t="shared" si="103"/>
        <v>1.6688804151558889</v>
      </c>
      <c r="BG221" s="3">
        <f t="shared" si="104"/>
        <v>-2.1039897492590547E-2</v>
      </c>
      <c r="BH221" s="3">
        <f t="shared" si="105"/>
        <v>-2.0213879519669849E-2</v>
      </c>
      <c r="BI221" s="3">
        <f t="shared" si="106"/>
        <v>-1.9012305167773802E-2</v>
      </c>
      <c r="BJ221" s="3">
        <f t="shared" si="107"/>
        <v>-1.4822212695677892E-2</v>
      </c>
    </row>
    <row r="222" spans="1:62" ht="13.5" x14ac:dyDescent="0.2">
      <c r="A222" s="28">
        <v>44475</v>
      </c>
      <c r="B222" s="29">
        <v>292.57470699999999</v>
      </c>
      <c r="C222" s="29">
        <v>141.79306</v>
      </c>
      <c r="D222" s="29">
        <v>3262.01001</v>
      </c>
      <c r="E222" s="29">
        <v>2751.3000489999999</v>
      </c>
      <c r="F222" s="29">
        <v>782.75</v>
      </c>
      <c r="G222" s="29">
        <v>2747.080078</v>
      </c>
      <c r="H222" s="29">
        <v>333.64001500000001</v>
      </c>
      <c r="I222" s="29">
        <v>206.97465500000001</v>
      </c>
      <c r="J222" s="29">
        <v>280.22000100000002</v>
      </c>
      <c r="K222" s="29">
        <v>169.020004</v>
      </c>
      <c r="L222" s="26">
        <v>4363.55</v>
      </c>
      <c r="N222" s="3">
        <f t="shared" si="89"/>
        <v>5.9188711203524294E-3</v>
      </c>
      <c r="O222" s="3">
        <f t="shared" si="90"/>
        <v>9.0434697959149105E-3</v>
      </c>
      <c r="P222" s="3">
        <f t="shared" si="91"/>
        <v>1.2314967671575434E-2</v>
      </c>
      <c r="Q222" s="3">
        <f t="shared" si="92"/>
        <v>1.1994778986952578E-2</v>
      </c>
      <c r="R222" s="3">
        <f t="shared" si="93"/>
        <v>1.3778777590238432E-2</v>
      </c>
      <c r="S222" s="3">
        <f t="shared" si="94"/>
        <v>1.324599860755115E-2</v>
      </c>
      <c r="T222" s="3">
        <f t="shared" si="95"/>
        <v>-1.3336388995626522E-2</v>
      </c>
      <c r="U222" s="3">
        <f t="shared" si="96"/>
        <v>1.7953809067088534E-2</v>
      </c>
      <c r="V222" s="3">
        <f t="shared" si="97"/>
        <v>9.6952334871417342E-3</v>
      </c>
      <c r="W222" s="3">
        <f t="shared" si="98"/>
        <v>6.3106104268642934E-3</v>
      </c>
      <c r="X222" s="3">
        <f t="shared" si="99"/>
        <v>8.2640477350165494E-3</v>
      </c>
      <c r="AK222" s="3"/>
      <c r="AL222" s="8"/>
      <c r="AW222" s="3"/>
      <c r="AY222" s="5"/>
      <c r="AZ222" s="28">
        <v>44473</v>
      </c>
      <c r="BA222" s="3">
        <f t="shared" si="108"/>
        <v>217</v>
      </c>
      <c r="BB222" s="3">
        <f t="shared" si="100"/>
        <v>1.3655400574515157</v>
      </c>
      <c r="BC222" s="3">
        <f t="shared" si="101"/>
        <v>1.3409938020897494</v>
      </c>
      <c r="BD222" s="3">
        <f t="shared" si="102"/>
        <v>2.4164795926493574</v>
      </c>
      <c r="BE222" s="3">
        <f t="shared" si="103"/>
        <v>1.6443263371010202</v>
      </c>
      <c r="BG222" s="3">
        <f t="shared" si="104"/>
        <v>1.6745072847083594E-2</v>
      </c>
      <c r="BH222" s="3">
        <f t="shared" si="105"/>
        <v>1.7032865668377667E-2</v>
      </c>
      <c r="BI222" s="3">
        <f t="shared" si="106"/>
        <v>1.4497385065289898E-2</v>
      </c>
      <c r="BJ222" s="3">
        <f t="shared" si="107"/>
        <v>1.0679625281035858E-2</v>
      </c>
    </row>
    <row r="223" spans="1:62" ht="13.5" x14ac:dyDescent="0.2">
      <c r="A223" s="28">
        <v>44476</v>
      </c>
      <c r="B223" s="29">
        <v>294.311554</v>
      </c>
      <c r="C223" s="29">
        <v>143.081177</v>
      </c>
      <c r="D223" s="29">
        <v>3302.429932</v>
      </c>
      <c r="E223" s="29">
        <v>2784.5</v>
      </c>
      <c r="F223" s="29">
        <v>793.60998500000005</v>
      </c>
      <c r="G223" s="29">
        <v>2783.709961</v>
      </c>
      <c r="H223" s="29">
        <v>329.22000100000002</v>
      </c>
      <c r="I223" s="29">
        <v>210.724197</v>
      </c>
      <c r="J223" s="29">
        <v>282.95001200000002</v>
      </c>
      <c r="K223" s="29">
        <v>170.08999600000001</v>
      </c>
      <c r="L223" s="26">
        <v>4399.76</v>
      </c>
      <c r="N223" s="3">
        <f t="shared" si="89"/>
        <v>0</v>
      </c>
      <c r="O223" s="3">
        <f t="shared" si="90"/>
        <v>-2.7254873725061223E-3</v>
      </c>
      <c r="P223" s="3">
        <f t="shared" si="91"/>
        <v>-4.1904810632119351E-3</v>
      </c>
      <c r="Q223" s="3">
        <f t="shared" si="92"/>
        <v>4.0177613953553811E-3</v>
      </c>
      <c r="R223" s="3">
        <f t="shared" si="93"/>
        <v>-1.0284423657769753E-2</v>
      </c>
      <c r="S223" s="3">
        <f t="shared" si="94"/>
        <v>6.2348226017884933E-3</v>
      </c>
      <c r="T223" s="3">
        <f t="shared" si="95"/>
        <v>2.5178984402299091E-3</v>
      </c>
      <c r="U223" s="3">
        <f t="shared" si="96"/>
        <v>-1.1645221630271523E-2</v>
      </c>
      <c r="V223" s="3">
        <f t="shared" si="97"/>
        <v>4.1968812359554682E-3</v>
      </c>
      <c r="W223" s="3">
        <f t="shared" si="98"/>
        <v>7.6403871452676553E-4</v>
      </c>
      <c r="X223" s="3">
        <f t="shared" si="99"/>
        <v>-1.9155742909790841E-3</v>
      </c>
      <c r="AK223" s="3"/>
      <c r="AL223" s="8"/>
      <c r="AW223" s="3"/>
      <c r="AY223" s="5"/>
      <c r="AZ223" s="28">
        <v>44474</v>
      </c>
      <c r="BA223" s="3">
        <f t="shared" si="108"/>
        <v>218</v>
      </c>
      <c r="BB223" s="3">
        <f t="shared" si="100"/>
        <v>1.388598645260513</v>
      </c>
      <c r="BC223" s="3">
        <f t="shared" si="101"/>
        <v>1.3640304020969085</v>
      </c>
      <c r="BD223" s="3">
        <f t="shared" si="102"/>
        <v>2.4517674002270402</v>
      </c>
      <c r="BE223" s="3">
        <f t="shared" si="103"/>
        <v>1.6619812322520771</v>
      </c>
      <c r="BG223" s="3">
        <f t="shared" si="104"/>
        <v>8.0115009854652801E-3</v>
      </c>
      <c r="BH223" s="3">
        <f t="shared" si="105"/>
        <v>8.3496721770796017E-3</v>
      </c>
      <c r="BI223" s="3">
        <f t="shared" si="106"/>
        <v>8.505382819852244E-3</v>
      </c>
      <c r="BJ223" s="3">
        <f t="shared" si="107"/>
        <v>8.5726056890851315E-3</v>
      </c>
    </row>
    <row r="224" spans="1:62" ht="13.5" x14ac:dyDescent="0.2">
      <c r="A224" s="28">
        <v>44477</v>
      </c>
      <c r="B224" s="29">
        <v>294.311554</v>
      </c>
      <c r="C224" s="29">
        <v>142.691742</v>
      </c>
      <c r="D224" s="29">
        <v>3288.6201169999999</v>
      </c>
      <c r="E224" s="29">
        <v>2795.709961</v>
      </c>
      <c r="F224" s="29">
        <v>785.48999000000003</v>
      </c>
      <c r="G224" s="29">
        <v>2801.1201169999999</v>
      </c>
      <c r="H224" s="29">
        <v>330.04998799999998</v>
      </c>
      <c r="I224" s="29">
        <v>208.28450000000001</v>
      </c>
      <c r="J224" s="29">
        <v>284.14001500000001</v>
      </c>
      <c r="K224" s="29">
        <v>170.220001</v>
      </c>
      <c r="L224" s="26">
        <v>4391.34</v>
      </c>
      <c r="N224" s="3">
        <f t="shared" si="89"/>
        <v>-2.104971985938463E-3</v>
      </c>
      <c r="O224" s="3">
        <f t="shared" si="90"/>
        <v>-6.2994049005856746E-4</v>
      </c>
      <c r="P224" s="3">
        <f t="shared" si="91"/>
        <v>-1.2952158114322397E-2</v>
      </c>
      <c r="Q224" s="3">
        <f t="shared" si="92"/>
        <v>-6.2540438151977131E-3</v>
      </c>
      <c r="R224" s="3">
        <f t="shared" si="93"/>
        <v>8.1779197553782518E-3</v>
      </c>
      <c r="S224" s="3">
        <f t="shared" si="94"/>
        <v>-8.6661934955911384E-3</v>
      </c>
      <c r="T224" s="3">
        <f t="shared" si="95"/>
        <v>-1.4035244886232482E-2</v>
      </c>
      <c r="U224" s="3">
        <f t="shared" si="96"/>
        <v>-6.5501341008778165E-3</v>
      </c>
      <c r="V224" s="3">
        <f t="shared" si="97"/>
        <v>-1.1361624171715419E-2</v>
      </c>
      <c r="W224" s="3">
        <f t="shared" si="98"/>
        <v>-2.1255932971808899E-2</v>
      </c>
      <c r="X224" s="3">
        <f t="shared" si="99"/>
        <v>-6.8894637904681668E-3</v>
      </c>
      <c r="AK224" s="3"/>
      <c r="AL224" s="8"/>
      <c r="AW224" s="3"/>
      <c r="AY224" s="5"/>
      <c r="AZ224" s="28">
        <v>44475</v>
      </c>
      <c r="BA224" s="3">
        <f t="shared" si="108"/>
        <v>219</v>
      </c>
      <c r="BB224" s="3">
        <f t="shared" si="100"/>
        <v>1.3997680869302112</v>
      </c>
      <c r="BC224" s="3">
        <f t="shared" si="101"/>
        <v>1.3754672894787665</v>
      </c>
      <c r="BD224" s="3">
        <f t="shared" si="102"/>
        <v>2.4727095548233433</v>
      </c>
      <c r="BE224" s="3">
        <f t="shared" si="103"/>
        <v>1.6762899860423359</v>
      </c>
      <c r="BG224" s="3">
        <f t="shared" si="104"/>
        <v>9.1474975515957475E-3</v>
      </c>
      <c r="BH224" s="3">
        <f t="shared" si="105"/>
        <v>8.7014714988415346E-3</v>
      </c>
      <c r="BI224" s="3">
        <f t="shared" si="106"/>
        <v>1.2285983437801245E-2</v>
      </c>
      <c r="BJ224" s="3">
        <f t="shared" si="107"/>
        <v>1.5855374122095856E-2</v>
      </c>
    </row>
    <row r="225" spans="1:62" ht="13.5" x14ac:dyDescent="0.2">
      <c r="A225" s="28">
        <v>44480</v>
      </c>
      <c r="B225" s="29">
        <v>293.69268799999998</v>
      </c>
      <c r="C225" s="29">
        <v>142.60188299999999</v>
      </c>
      <c r="D225" s="29">
        <v>3246.3000489999999</v>
      </c>
      <c r="E225" s="29">
        <v>2778.280029</v>
      </c>
      <c r="F225" s="29">
        <v>791.94000200000005</v>
      </c>
      <c r="G225" s="29">
        <v>2776.9499510000001</v>
      </c>
      <c r="H225" s="29">
        <v>325.45001200000002</v>
      </c>
      <c r="I225" s="29">
        <v>206.924667</v>
      </c>
      <c r="J225" s="29">
        <v>280.92999300000002</v>
      </c>
      <c r="K225" s="29">
        <v>166.63999899999999</v>
      </c>
      <c r="L225" s="26">
        <v>4361.1899999999996</v>
      </c>
      <c r="N225" s="3">
        <f t="shared" si="89"/>
        <v>-4.5988032797192836E-3</v>
      </c>
      <c r="O225" s="3">
        <f t="shared" si="90"/>
        <v>-9.1447283521894334E-3</v>
      </c>
      <c r="P225" s="3">
        <f t="shared" si="91"/>
        <v>3.1724289449624663E-4</v>
      </c>
      <c r="Q225" s="3">
        <f t="shared" si="92"/>
        <v>-1.7904135948971524E-2</v>
      </c>
      <c r="R225" s="3">
        <f t="shared" si="93"/>
        <v>1.7250617723207948E-2</v>
      </c>
      <c r="S225" s="3">
        <f t="shared" si="94"/>
        <v>-1.5492349282044491E-2</v>
      </c>
      <c r="T225" s="3">
        <f t="shared" si="95"/>
        <v>-5.1755236976934816E-3</v>
      </c>
      <c r="U225" s="3">
        <f t="shared" si="96"/>
        <v>-1.1603945689609187E-3</v>
      </c>
      <c r="V225" s="3">
        <f t="shared" si="97"/>
        <v>-8.2566747306021763E-3</v>
      </c>
      <c r="W225" s="3">
        <f t="shared" si="98"/>
        <v>-7.7108695308317409E-3</v>
      </c>
      <c r="X225" s="3">
        <f t="shared" si="99"/>
        <v>-2.4196966754627294E-3</v>
      </c>
      <c r="AK225" s="3"/>
      <c r="AL225" s="8"/>
      <c r="AW225" s="3"/>
      <c r="AY225" s="5"/>
      <c r="AZ225" s="28">
        <v>44476</v>
      </c>
      <c r="BA225" s="3">
        <f t="shared" si="108"/>
        <v>220</v>
      </c>
      <c r="BB225" s="3">
        <f t="shared" si="100"/>
        <v>1.4126312050538177</v>
      </c>
      <c r="BC225" s="3">
        <f t="shared" si="101"/>
        <v>1.3874881024295642</v>
      </c>
      <c r="BD225" s="3">
        <f t="shared" si="102"/>
        <v>2.5032766121449979</v>
      </c>
      <c r="BE225" s="3">
        <f t="shared" si="103"/>
        <v>1.7030800126224148</v>
      </c>
      <c r="BG225" s="3">
        <f t="shared" si="104"/>
        <v>-1.2119854919490887E-3</v>
      </c>
      <c r="BH225" s="3">
        <f t="shared" si="105"/>
        <v>2.2679135750314938E-4</v>
      </c>
      <c r="BI225" s="3">
        <f t="shared" si="106"/>
        <v>-4.9988620850693107E-3</v>
      </c>
      <c r="BJ225" s="3">
        <f t="shared" si="107"/>
        <v>-9.7983417169708893E-3</v>
      </c>
    </row>
    <row r="226" spans="1:62" ht="13.5" x14ac:dyDescent="0.2">
      <c r="A226" s="28">
        <v>44481</v>
      </c>
      <c r="B226" s="29">
        <v>292.34515399999998</v>
      </c>
      <c r="C226" s="29">
        <v>141.30377200000001</v>
      </c>
      <c r="D226" s="29">
        <v>3247.330078</v>
      </c>
      <c r="E226" s="29">
        <v>2728.9799800000001</v>
      </c>
      <c r="F226" s="29">
        <v>805.71997099999999</v>
      </c>
      <c r="G226" s="29">
        <v>2734.26001</v>
      </c>
      <c r="H226" s="29">
        <v>323.76998900000001</v>
      </c>
      <c r="I226" s="29">
        <v>206.68469200000001</v>
      </c>
      <c r="J226" s="29">
        <v>278.61999500000002</v>
      </c>
      <c r="K226" s="29">
        <v>165.36000100000001</v>
      </c>
      <c r="L226" s="26">
        <v>4350.6499999999996</v>
      </c>
      <c r="N226" s="3">
        <f t="shared" si="89"/>
        <v>1.1643233869496101E-2</v>
      </c>
      <c r="O226" s="3">
        <f t="shared" si="90"/>
        <v>-4.2489645875740207E-3</v>
      </c>
      <c r="P226" s="3">
        <f t="shared" si="91"/>
        <v>1.1314314409118438E-2</v>
      </c>
      <c r="Q226" s="3">
        <f t="shared" si="92"/>
        <v>8.2691529960435533E-3</v>
      </c>
      <c r="R226" s="3">
        <f t="shared" si="93"/>
        <v>6.6304622424008816E-3</v>
      </c>
      <c r="S226" s="3">
        <f t="shared" si="94"/>
        <v>8.644943177254838E-3</v>
      </c>
      <c r="T226" s="3">
        <f t="shared" si="95"/>
        <v>2.3754696502230896E-3</v>
      </c>
      <c r="U226" s="3">
        <f t="shared" si="96"/>
        <v>1.2881702336940198E-2</v>
      </c>
      <c r="V226" s="3">
        <f t="shared" si="97"/>
        <v>-2.5875131745321587E-3</v>
      </c>
      <c r="W226" s="3">
        <f t="shared" si="98"/>
        <v>-2.6720556436461568E-2</v>
      </c>
      <c r="X226" s="3">
        <f t="shared" si="99"/>
        <v>3.0179781813102643E-3</v>
      </c>
      <c r="AK226" s="3"/>
      <c r="AL226" s="8"/>
      <c r="AW226" s="3"/>
      <c r="AY226" s="5"/>
      <c r="AZ226" s="28">
        <v>44477</v>
      </c>
      <c r="BA226" s="3">
        <f t="shared" si="108"/>
        <v>221</v>
      </c>
      <c r="BB226" s="3">
        <f t="shared" si="100"/>
        <v>1.4109201536220217</v>
      </c>
      <c r="BC226" s="3">
        <f t="shared" si="101"/>
        <v>1.3878028084247849</v>
      </c>
      <c r="BD226" s="3">
        <f t="shared" si="102"/>
        <v>2.4907943022658663</v>
      </c>
      <c r="BE226" s="3">
        <f t="shared" si="103"/>
        <v>1.686474140549082</v>
      </c>
      <c r="BG226" s="3">
        <f t="shared" si="104"/>
        <v>-7.23840006947185E-3</v>
      </c>
      <c r="BH226" s="3">
        <f t="shared" si="105"/>
        <v>-8.4958706214227735E-3</v>
      </c>
      <c r="BI226" s="3">
        <f t="shared" si="106"/>
        <v>-1.6099544974087791E-3</v>
      </c>
      <c r="BJ226" s="3">
        <f t="shared" si="107"/>
        <v>5.1297823284205644E-3</v>
      </c>
    </row>
    <row r="227" spans="1:62" ht="13.5" x14ac:dyDescent="0.2">
      <c r="A227" s="28">
        <v>44482</v>
      </c>
      <c r="B227" s="29">
        <v>295.76889</v>
      </c>
      <c r="C227" s="29">
        <v>140.70465100000001</v>
      </c>
      <c r="D227" s="29">
        <v>3284.280029</v>
      </c>
      <c r="E227" s="29">
        <v>2751.639893</v>
      </c>
      <c r="F227" s="29">
        <v>811.080017</v>
      </c>
      <c r="G227" s="29">
        <v>2758</v>
      </c>
      <c r="H227" s="29">
        <v>324.540009</v>
      </c>
      <c r="I227" s="29">
        <v>209.36436499999999</v>
      </c>
      <c r="J227" s="29">
        <v>277.89999399999999</v>
      </c>
      <c r="K227" s="29">
        <v>161</v>
      </c>
      <c r="L227" s="26">
        <v>4363.8</v>
      </c>
      <c r="N227" s="3">
        <f t="shared" si="89"/>
        <v>2.1501124185130088E-2</v>
      </c>
      <c r="O227" s="3">
        <f t="shared" si="90"/>
        <v>2.0023807250396534E-2</v>
      </c>
      <c r="P227" s="3">
        <f t="shared" si="91"/>
        <v>4.7326170943969431E-3</v>
      </c>
      <c r="Q227" s="3">
        <f t="shared" si="92"/>
        <v>2.5610182317759096E-2</v>
      </c>
      <c r="R227" s="3">
        <f t="shared" si="93"/>
        <v>8.8867528428920144E-3</v>
      </c>
      <c r="S227" s="3">
        <f t="shared" si="94"/>
        <v>2.514882715598462E-2</v>
      </c>
      <c r="T227" s="3">
        <f t="shared" si="95"/>
        <v>1.2219332068966575E-2</v>
      </c>
      <c r="U227" s="3">
        <f t="shared" si="96"/>
        <v>3.7816397499670293E-2</v>
      </c>
      <c r="V227" s="3">
        <f t="shared" si="97"/>
        <v>1.3368397752453652E-2</v>
      </c>
      <c r="W227" s="3">
        <f t="shared" si="98"/>
        <v>1.5225128395984033E-2</v>
      </c>
      <c r="X227" s="3">
        <f t="shared" si="99"/>
        <v>1.6919170336133042E-2</v>
      </c>
      <c r="AK227" s="3"/>
      <c r="AL227" s="8"/>
      <c r="AW227" s="3"/>
      <c r="AY227" s="5"/>
      <c r="AZ227" s="28">
        <v>44480</v>
      </c>
      <c r="BA227" s="3">
        <f t="shared" si="108"/>
        <v>222</v>
      </c>
      <c r="BB227" s="3">
        <f t="shared" si="100"/>
        <v>1.4007442222453597</v>
      </c>
      <c r="BC227" s="3">
        <f t="shared" si="101"/>
        <v>1.376062159453437</v>
      </c>
      <c r="BD227" s="3">
        <f t="shared" si="102"/>
        <v>2.4867874630566775</v>
      </c>
      <c r="BE227" s="3">
        <f t="shared" si="103"/>
        <v>1.6951476132862418</v>
      </c>
      <c r="BG227" s="3">
        <f t="shared" si="104"/>
        <v>-5.131998072944898E-3</v>
      </c>
      <c r="BH227" s="3">
        <f t="shared" si="105"/>
        <v>-7.0747862065681068E-3</v>
      </c>
      <c r="BI227" s="3">
        <f t="shared" si="106"/>
        <v>9.1756640036192049E-5</v>
      </c>
      <c r="BJ227" s="3">
        <f t="shared" si="107"/>
        <v>7.365432692616929E-3</v>
      </c>
    </row>
    <row r="228" spans="1:62" ht="13.5" x14ac:dyDescent="0.2">
      <c r="A228" s="28">
        <v>44483</v>
      </c>
      <c r="B228" s="29">
        <v>302.197113</v>
      </c>
      <c r="C228" s="29">
        <v>143.55049099999999</v>
      </c>
      <c r="D228" s="29">
        <v>3299.860107</v>
      </c>
      <c r="E228" s="29">
        <v>2823.0200199999999</v>
      </c>
      <c r="F228" s="29">
        <v>818.32000700000003</v>
      </c>
      <c r="G228" s="29">
        <v>2828.23999</v>
      </c>
      <c r="H228" s="29">
        <v>328.52999899999998</v>
      </c>
      <c r="I228" s="29">
        <v>217.43338</v>
      </c>
      <c r="J228" s="29">
        <v>281.64001500000001</v>
      </c>
      <c r="K228" s="29">
        <v>163.470001</v>
      </c>
      <c r="L228" s="26">
        <v>4438.26</v>
      </c>
      <c r="N228" s="3">
        <f t="shared" si="89"/>
        <v>4.8108774564158381E-3</v>
      </c>
      <c r="O228" s="3">
        <f t="shared" si="90"/>
        <v>7.4844765835934985E-3</v>
      </c>
      <c r="P228" s="3">
        <f t="shared" si="91"/>
        <v>3.2544790072766047E-2</v>
      </c>
      <c r="Q228" s="3">
        <f t="shared" si="92"/>
        <v>1.5362109295236584E-3</v>
      </c>
      <c r="R228" s="3">
        <f t="shared" si="93"/>
        <v>2.9749112254119948E-2</v>
      </c>
      <c r="S228" s="3">
        <f t="shared" si="94"/>
        <v>1.8580901004420656E-3</v>
      </c>
      <c r="T228" s="3">
        <f t="shared" si="95"/>
        <v>-1.1541676125700619E-2</v>
      </c>
      <c r="U228" s="3">
        <f t="shared" si="96"/>
        <v>5.3201052706124963E-3</v>
      </c>
      <c r="V228" s="3">
        <f t="shared" si="97"/>
        <v>9.0836569552217653E-3</v>
      </c>
      <c r="W228" s="3">
        <f t="shared" si="98"/>
        <v>1.9026264562570991E-2</v>
      </c>
      <c r="X228" s="3">
        <f t="shared" si="99"/>
        <v>7.4324416209213713E-3</v>
      </c>
      <c r="AK228" s="3"/>
      <c r="AL228" s="8"/>
      <c r="AW228" s="3"/>
      <c r="AY228" s="5"/>
      <c r="AZ228" s="28">
        <v>44481</v>
      </c>
      <c r="BA228" s="3">
        <f t="shared" si="108"/>
        <v>223</v>
      </c>
      <c r="BB228" s="3">
        <f t="shared" si="100"/>
        <v>1.3935740200650297</v>
      </c>
      <c r="BC228" s="3">
        <f t="shared" si="101"/>
        <v>1.3663611705428986</v>
      </c>
      <c r="BD228" s="3">
        <f t="shared" si="102"/>
        <v>2.4870156527875733</v>
      </c>
      <c r="BE228" s="3">
        <f t="shared" si="103"/>
        <v>1.707679202571903</v>
      </c>
      <c r="BG228" s="3">
        <f t="shared" si="104"/>
        <v>3.0085301898704433E-3</v>
      </c>
      <c r="BH228" s="3">
        <f t="shared" si="105"/>
        <v>1.928429353595553E-3</v>
      </c>
      <c r="BI228" s="3">
        <f t="shared" si="106"/>
        <v>7.2319077419296064E-3</v>
      </c>
      <c r="BJ228" s="3">
        <f t="shared" si="107"/>
        <v>1.1429552401832851E-2</v>
      </c>
    </row>
    <row r="229" spans="1:62" ht="13.5" x14ac:dyDescent="0.2">
      <c r="A229" s="28">
        <v>44484</v>
      </c>
      <c r="B229" s="29">
        <v>303.654449</v>
      </c>
      <c r="C229" s="29">
        <v>144.62892199999999</v>
      </c>
      <c r="D229" s="29">
        <v>3409.0200199999999</v>
      </c>
      <c r="E229" s="29">
        <v>2827.360107</v>
      </c>
      <c r="F229" s="29">
        <v>843.03002900000001</v>
      </c>
      <c r="G229" s="29">
        <v>2833.5</v>
      </c>
      <c r="H229" s="29">
        <v>324.76001000000002</v>
      </c>
      <c r="I229" s="29">
        <v>218.593231</v>
      </c>
      <c r="J229" s="29">
        <v>284.209991</v>
      </c>
      <c r="K229" s="29">
        <v>166.61000100000001</v>
      </c>
      <c r="L229" s="26">
        <v>4471.37</v>
      </c>
      <c r="N229" s="3">
        <f t="shared" si="89"/>
        <v>1.0073761845458783E-2</v>
      </c>
      <c r="O229" s="3">
        <f t="shared" si="90"/>
        <v>1.1736955024265375E-2</v>
      </c>
      <c r="P229" s="3">
        <f t="shared" si="91"/>
        <v>1.1003988051822094E-2</v>
      </c>
      <c r="Q229" s="3">
        <f t="shared" si="92"/>
        <v>9.9245397233246029E-3</v>
      </c>
      <c r="R229" s="3">
        <f t="shared" si="93"/>
        <v>3.1617044241599834E-2</v>
      </c>
      <c r="S229" s="3">
        <f t="shared" si="94"/>
        <v>9.0326526310551044E-3</v>
      </c>
      <c r="T229" s="3">
        <f t="shared" si="95"/>
        <v>3.2058451795254593E-2</v>
      </c>
      <c r="U229" s="3">
        <f t="shared" si="96"/>
        <v>1.6332840907526923E-2</v>
      </c>
      <c r="V229" s="3">
        <f t="shared" si="97"/>
        <v>-5.7163001002529515E-3</v>
      </c>
      <c r="W229" s="3">
        <f t="shared" si="98"/>
        <v>-3.6017529072077706E-4</v>
      </c>
      <c r="X229" s="3">
        <f t="shared" si="99"/>
        <v>3.3691227169670899E-3</v>
      </c>
      <c r="AK229" s="3"/>
      <c r="AL229" s="8"/>
      <c r="AW229" s="3"/>
      <c r="AY229" s="5"/>
      <c r="AZ229" s="28">
        <v>44482</v>
      </c>
      <c r="BA229" s="3">
        <f t="shared" si="108"/>
        <v>224</v>
      </c>
      <c r="BB229" s="3">
        <f t="shared" si="100"/>
        <v>1.3977729427018477</v>
      </c>
      <c r="BC229" s="3">
        <f t="shared" si="101"/>
        <v>1.368998643804854</v>
      </c>
      <c r="BD229" s="3">
        <f t="shared" si="102"/>
        <v>2.5050667136715381</v>
      </c>
      <c r="BE229" s="3">
        <f t="shared" si="103"/>
        <v>1.72730917872796</v>
      </c>
      <c r="BG229" s="3">
        <f t="shared" si="104"/>
        <v>1.9240819292800856E-2</v>
      </c>
      <c r="BH229" s="3">
        <f t="shared" si="105"/>
        <v>1.8850435874681534E-2</v>
      </c>
      <c r="BI229" s="3">
        <f t="shared" si="106"/>
        <v>1.9914423377360848E-2</v>
      </c>
      <c r="BJ229" s="3">
        <f t="shared" si="107"/>
        <v>1.9417220238141315E-2</v>
      </c>
    </row>
    <row r="230" spans="1:62" ht="13.5" x14ac:dyDescent="0.2">
      <c r="A230" s="28">
        <v>44487</v>
      </c>
      <c r="B230" s="29">
        <v>306.72885100000002</v>
      </c>
      <c r="C230" s="29">
        <v>146.33642599999999</v>
      </c>
      <c r="D230" s="29">
        <v>3446.73999</v>
      </c>
      <c r="E230" s="29">
        <v>2855.5600589999999</v>
      </c>
      <c r="F230" s="29">
        <v>870.10998500000005</v>
      </c>
      <c r="G230" s="29">
        <v>2859.209961</v>
      </c>
      <c r="H230" s="29">
        <v>335.33999599999999</v>
      </c>
      <c r="I230" s="29">
        <v>222.19279499999999</v>
      </c>
      <c r="J230" s="29">
        <v>282.58999599999999</v>
      </c>
      <c r="K230" s="29">
        <v>166.550003</v>
      </c>
      <c r="L230" s="26">
        <v>4486.46</v>
      </c>
      <c r="N230" s="3">
        <f t="shared" si="89"/>
        <v>3.0543647275218053E-3</v>
      </c>
      <c r="O230" s="3">
        <f t="shared" si="90"/>
        <v>1.4967552983632849E-2</v>
      </c>
      <c r="P230" s="3">
        <f t="shared" si="91"/>
        <v>-7.5174271032312846E-4</v>
      </c>
      <c r="Q230" s="3">
        <f t="shared" si="92"/>
        <v>3.2096004761912795E-3</v>
      </c>
      <c r="R230" s="3">
        <f t="shared" si="93"/>
        <v>-6.7343800715655624E-3</v>
      </c>
      <c r="S230" s="3">
        <f t="shared" si="94"/>
        <v>6.0080486511814779E-3</v>
      </c>
      <c r="T230" s="3">
        <f t="shared" si="95"/>
        <v>1.3771245418867E-2</v>
      </c>
      <c r="U230" s="3">
        <f t="shared" si="96"/>
        <v>3.055354862431883E-3</v>
      </c>
      <c r="V230" s="3">
        <f t="shared" si="97"/>
        <v>7.8953956622712044E-3</v>
      </c>
      <c r="W230" s="3">
        <f t="shared" si="98"/>
        <v>1.2055552665693954E-2</v>
      </c>
      <c r="X230" s="3">
        <f t="shared" si="99"/>
        <v>7.366160006043284E-3</v>
      </c>
      <c r="AK230" s="3"/>
      <c r="AL230" s="8"/>
      <c r="AW230" s="3"/>
      <c r="AY230" s="5"/>
      <c r="AZ230" s="28">
        <v>44483</v>
      </c>
      <c r="BA230" s="3">
        <f t="shared" si="108"/>
        <v>225</v>
      </c>
      <c r="BB230" s="3">
        <f t="shared" si="100"/>
        <v>1.4249276408871843</v>
      </c>
      <c r="BC230" s="3">
        <f t="shared" si="101"/>
        <v>1.3950496297663664</v>
      </c>
      <c r="BD230" s="3">
        <f t="shared" si="102"/>
        <v>2.5554537216877931</v>
      </c>
      <c r="BE230" s="3">
        <f t="shared" si="103"/>
        <v>1.7611764616456012</v>
      </c>
      <c r="BG230" s="3">
        <f t="shared" si="104"/>
        <v>9.8986812787501838E-3</v>
      </c>
      <c r="BH230" s="3">
        <f t="shared" si="105"/>
        <v>8.9719946742177481E-3</v>
      </c>
      <c r="BI230" s="3">
        <f t="shared" si="106"/>
        <v>1.4307575396395282E-2</v>
      </c>
      <c r="BJ230" s="3">
        <f t="shared" si="107"/>
        <v>2.082399389900616E-2</v>
      </c>
    </row>
    <row r="231" spans="1:62" ht="13.5" x14ac:dyDescent="0.2">
      <c r="A231" s="28">
        <v>44488</v>
      </c>
      <c r="B231" s="29">
        <v>307.667145</v>
      </c>
      <c r="C231" s="29">
        <v>148.54319799999999</v>
      </c>
      <c r="D231" s="29">
        <v>3444.1499020000001</v>
      </c>
      <c r="E231" s="29">
        <v>2864.73999</v>
      </c>
      <c r="F231" s="29">
        <v>864.27002000000005</v>
      </c>
      <c r="G231" s="29">
        <v>2876.4399410000001</v>
      </c>
      <c r="H231" s="29">
        <v>339.98998999999998</v>
      </c>
      <c r="I231" s="29">
        <v>222.87271100000001</v>
      </c>
      <c r="J231" s="29">
        <v>284.82998700000002</v>
      </c>
      <c r="K231" s="29">
        <v>168.570007</v>
      </c>
      <c r="L231" s="26">
        <v>4519.63</v>
      </c>
      <c r="N231" s="3">
        <f t="shared" si="89"/>
        <v>-2.6639266666569541E-3</v>
      </c>
      <c r="O231" s="3">
        <f t="shared" si="90"/>
        <v>3.3555544194050733E-3</v>
      </c>
      <c r="P231" s="3">
        <f t="shared" si="91"/>
        <v>-8.4820314790116803E-3</v>
      </c>
      <c r="Q231" s="3">
        <f t="shared" si="92"/>
        <v>-1.0301666387902158E-2</v>
      </c>
      <c r="R231" s="3">
        <f t="shared" si="93"/>
        <v>1.768678020848962E-3</v>
      </c>
      <c r="S231" s="3">
        <f t="shared" si="94"/>
        <v>-9.8310556257090644E-3</v>
      </c>
      <c r="T231" s="3">
        <f t="shared" si="95"/>
        <v>2.3209288523119713E-3</v>
      </c>
      <c r="U231" s="3">
        <f t="shared" si="96"/>
        <v>-8.4247785788408164E-3</v>
      </c>
      <c r="V231" s="3">
        <f t="shared" si="97"/>
        <v>9.2955768123099761E-3</v>
      </c>
      <c r="W231" s="3">
        <f t="shared" si="98"/>
        <v>1.3376287241553795E-2</v>
      </c>
      <c r="X231" s="3">
        <f t="shared" si="99"/>
        <v>3.6573205869523144E-3</v>
      </c>
      <c r="AK231" s="3"/>
      <c r="AL231" s="8"/>
      <c r="AW231" s="3"/>
      <c r="AY231" s="5"/>
      <c r="AZ231" s="28">
        <v>44484</v>
      </c>
      <c r="BA231" s="3">
        <f t="shared" si="108"/>
        <v>226</v>
      </c>
      <c r="BB231" s="3">
        <f t="shared" si="100"/>
        <v>1.4391025863403633</v>
      </c>
      <c r="BC231" s="3">
        <f t="shared" si="101"/>
        <v>1.4076223243510837</v>
      </c>
      <c r="BD231" s="3">
        <f t="shared" si="102"/>
        <v>2.5922788796505793</v>
      </c>
      <c r="BE231" s="3">
        <f t="shared" si="103"/>
        <v>1.7982357111466176</v>
      </c>
      <c r="BG231" s="3">
        <f t="shared" si="104"/>
        <v>1.2906750009569647E-2</v>
      </c>
      <c r="BH231" s="3">
        <f t="shared" si="105"/>
        <v>9.899139983327367E-3</v>
      </c>
      <c r="BI231" s="3">
        <f t="shared" si="106"/>
        <v>1.81651580537734E-2</v>
      </c>
      <c r="BJ231" s="3">
        <f t="shared" si="107"/>
        <v>2.4647631842452285E-2</v>
      </c>
    </row>
    <row r="232" spans="1:62" ht="13.5" x14ac:dyDescent="0.2">
      <c r="A232" s="28">
        <v>44489</v>
      </c>
      <c r="B232" s="29">
        <v>306.84863300000001</v>
      </c>
      <c r="C232" s="29">
        <v>149.04248000000001</v>
      </c>
      <c r="D232" s="29">
        <v>3415.0600589999999</v>
      </c>
      <c r="E232" s="29">
        <v>2835.3798830000001</v>
      </c>
      <c r="F232" s="29">
        <v>865.79998799999998</v>
      </c>
      <c r="G232" s="29">
        <v>2848.3000489999999</v>
      </c>
      <c r="H232" s="29">
        <v>340.77999899999998</v>
      </c>
      <c r="I232" s="29">
        <v>221.00294500000001</v>
      </c>
      <c r="J232" s="29">
        <v>287.48998999999998</v>
      </c>
      <c r="K232" s="29">
        <v>170.83999600000001</v>
      </c>
      <c r="L232" s="26">
        <v>4536.1899999999996</v>
      </c>
      <c r="N232" s="3">
        <f t="shared" si="89"/>
        <v>1.0838514739690164E-2</v>
      </c>
      <c r="O232" s="3">
        <f t="shared" si="90"/>
        <v>1.4727632128989515E-3</v>
      </c>
      <c r="P232" s="3">
        <f t="shared" si="91"/>
        <v>5.8247600984787356E-3</v>
      </c>
      <c r="Q232" s="3">
        <f t="shared" si="92"/>
        <v>8.2497688845356619E-4</v>
      </c>
      <c r="R232" s="3">
        <f t="shared" si="93"/>
        <v>3.2051854025647898E-2</v>
      </c>
      <c r="S232" s="3">
        <f t="shared" si="94"/>
        <v>2.5631757170955054E-3</v>
      </c>
      <c r="T232" s="3">
        <f t="shared" si="95"/>
        <v>3.2227080701830915E-3</v>
      </c>
      <c r="U232" s="3">
        <f t="shared" si="96"/>
        <v>2.6299040485386522E-2</v>
      </c>
      <c r="V232" s="3">
        <f t="shared" si="97"/>
        <v>-2.333176533344937E-3</v>
      </c>
      <c r="W232" s="3">
        <f t="shared" si="98"/>
        <v>-7.8744957390401663E-3</v>
      </c>
      <c r="X232" s="3">
        <f t="shared" si="99"/>
        <v>2.9914274720985803E-3</v>
      </c>
      <c r="AK232" s="3"/>
      <c r="AL232" s="8"/>
      <c r="AW232" s="3"/>
      <c r="AY232" s="5"/>
      <c r="AZ232" s="28">
        <v>44487</v>
      </c>
      <c r="BA232" s="3">
        <f t="shared" si="108"/>
        <v>227</v>
      </c>
      <c r="BB232" s="3">
        <f t="shared" si="100"/>
        <v>1.4577971068951392</v>
      </c>
      <c r="BC232" s="3">
        <f t="shared" si="101"/>
        <v>1.4216257714720444</v>
      </c>
      <c r="BD232" s="3">
        <f t="shared" si="102"/>
        <v>2.6397983276904409</v>
      </c>
      <c r="BE232" s="3">
        <f t="shared" si="103"/>
        <v>1.8431086976529871</v>
      </c>
      <c r="BG232" s="3">
        <f t="shared" si="104"/>
        <v>5.2145935900943111E-3</v>
      </c>
      <c r="BH232" s="3">
        <f t="shared" si="105"/>
        <v>6.1775555059041184E-3</v>
      </c>
      <c r="BI232" s="3">
        <f t="shared" si="106"/>
        <v>1.8666374857194351E-3</v>
      </c>
      <c r="BJ232" s="3">
        <f t="shared" si="107"/>
        <v>-2.2493576470237796E-3</v>
      </c>
    </row>
    <row r="233" spans="1:62" ht="13.5" x14ac:dyDescent="0.2">
      <c r="A233" s="28">
        <v>44490</v>
      </c>
      <c r="B233" s="29">
        <v>310.19250499999998</v>
      </c>
      <c r="C233" s="29">
        <v>149.262146</v>
      </c>
      <c r="D233" s="29">
        <v>3435.01001</v>
      </c>
      <c r="E233" s="29">
        <v>2837.719971</v>
      </c>
      <c r="F233" s="29">
        <v>894</v>
      </c>
      <c r="G233" s="29">
        <v>2855.610107</v>
      </c>
      <c r="H233" s="29">
        <v>341.88000499999998</v>
      </c>
      <c r="I233" s="29">
        <v>226.892212</v>
      </c>
      <c r="J233" s="29">
        <v>286.82000699999998</v>
      </c>
      <c r="K233" s="29">
        <v>169.5</v>
      </c>
      <c r="L233" s="26">
        <v>4549.78</v>
      </c>
      <c r="N233" s="3">
        <f t="shared" si="89"/>
        <v>-5.1619640950270685E-3</v>
      </c>
      <c r="O233" s="3">
        <f t="shared" si="90"/>
        <v>-5.298904276054622E-3</v>
      </c>
      <c r="P233" s="3">
        <f t="shared" si="91"/>
        <v>-2.9382241787781552E-2</v>
      </c>
      <c r="Q233" s="3">
        <f t="shared" si="92"/>
        <v>-3.091644314449626E-2</v>
      </c>
      <c r="R233" s="3">
        <f t="shared" si="93"/>
        <v>1.7387106447939477E-2</v>
      </c>
      <c r="S233" s="3">
        <f t="shared" si="94"/>
        <v>-2.9536077758774867E-2</v>
      </c>
      <c r="T233" s="3">
        <f t="shared" si="95"/>
        <v>-5.183539737891156E-2</v>
      </c>
      <c r="U233" s="3">
        <f t="shared" si="96"/>
        <v>1.4972376335438398E-3</v>
      </c>
      <c r="V233" s="3">
        <f t="shared" si="97"/>
        <v>8.4018930267694397E-3</v>
      </c>
      <c r="W233" s="3">
        <f t="shared" si="98"/>
        <v>1.3361655696174313E-2</v>
      </c>
      <c r="X233" s="3">
        <f t="shared" si="99"/>
        <v>-1.0731549583585973E-3</v>
      </c>
      <c r="AK233" s="3"/>
      <c r="AL233" s="8"/>
      <c r="AW233" s="3"/>
      <c r="AY233" s="5"/>
      <c r="AZ233" s="28">
        <v>44488</v>
      </c>
      <c r="BA233" s="3">
        <f t="shared" si="108"/>
        <v>228</v>
      </c>
      <c r="BB233" s="3">
        <f t="shared" si="100"/>
        <v>1.4654187810402872</v>
      </c>
      <c r="BC233" s="3">
        <f t="shared" si="101"/>
        <v>1.4304351257059744</v>
      </c>
      <c r="BD233" s="3">
        <f t="shared" si="102"/>
        <v>2.6447304760380379</v>
      </c>
      <c r="BE233" s="3">
        <f t="shared" si="103"/>
        <v>1.8389675462209967</v>
      </c>
      <c r="BG233" s="3">
        <f t="shared" si="104"/>
        <v>-1.2501892441378133E-3</v>
      </c>
      <c r="BH233" s="3">
        <f t="shared" si="105"/>
        <v>-5.3368741566321254E-4</v>
      </c>
      <c r="BI233" s="3">
        <f t="shared" si="106"/>
        <v>-3.2062300907515738E-3</v>
      </c>
      <c r="BJ233" s="3">
        <f t="shared" si="107"/>
        <v>-4.685439732935618E-3</v>
      </c>
    </row>
    <row r="234" spans="1:62" ht="13.5" x14ac:dyDescent="0.2">
      <c r="A234" s="28">
        <v>44491</v>
      </c>
      <c r="B234" s="29">
        <v>308.59542800000003</v>
      </c>
      <c r="C234" s="29">
        <v>148.47331199999999</v>
      </c>
      <c r="D234" s="29">
        <v>3335.5500489999999</v>
      </c>
      <c r="E234" s="29">
        <v>2751.330078</v>
      </c>
      <c r="F234" s="29">
        <v>909.67999299999997</v>
      </c>
      <c r="G234" s="29">
        <v>2772.5</v>
      </c>
      <c r="H234" s="29">
        <v>324.60998499999999</v>
      </c>
      <c r="I234" s="29">
        <v>227.232178</v>
      </c>
      <c r="J234" s="29">
        <v>289.23998999999998</v>
      </c>
      <c r="K234" s="29">
        <v>171.779999</v>
      </c>
      <c r="L234" s="26">
        <v>4544.8999999999996</v>
      </c>
      <c r="N234" s="3">
        <f t="shared" si="89"/>
        <v>-3.3371279069318452E-3</v>
      </c>
      <c r="O234" s="3">
        <f t="shared" si="90"/>
        <v>-3.3631900123449332E-4</v>
      </c>
      <c r="P234" s="3">
        <f t="shared" si="91"/>
        <v>-4.5613402626985275E-3</v>
      </c>
      <c r="Q234" s="3">
        <f t="shared" si="92"/>
        <v>-8.6909811416122963E-4</v>
      </c>
      <c r="R234" s="3">
        <f t="shared" si="93"/>
        <v>0.11921840062042513</v>
      </c>
      <c r="S234" s="3">
        <f t="shared" si="94"/>
        <v>1.0670449324271802E-3</v>
      </c>
      <c r="T234" s="3">
        <f t="shared" si="95"/>
        <v>1.2490647870224832E-2</v>
      </c>
      <c r="U234" s="3">
        <f t="shared" si="96"/>
        <v>1.917603724692615E-2</v>
      </c>
      <c r="V234" s="3">
        <f t="shared" si="97"/>
        <v>3.5203487607012858E-3</v>
      </c>
      <c r="W234" s="3">
        <f t="shared" si="98"/>
        <v>-4.9019530787956919E-3</v>
      </c>
      <c r="X234" s="3">
        <f t="shared" si="99"/>
        <v>4.7369422309476855E-3</v>
      </c>
      <c r="AK234" s="3"/>
      <c r="AL234" s="8"/>
      <c r="AW234" s="3"/>
      <c r="AY234" s="5"/>
      <c r="AZ234" s="28">
        <v>44489</v>
      </c>
      <c r="BA234" s="3">
        <f t="shared" si="108"/>
        <v>229</v>
      </c>
      <c r="BB234" s="3">
        <f t="shared" si="100"/>
        <v>1.4635878749700826</v>
      </c>
      <c r="BC234" s="3">
        <f t="shared" si="101"/>
        <v>1.4296719241541092</v>
      </c>
      <c r="BD234" s="3">
        <f t="shared" si="102"/>
        <v>2.6362644408846725</v>
      </c>
      <c r="BE234" s="3">
        <f t="shared" si="103"/>
        <v>1.8303713288678285</v>
      </c>
      <c r="BG234" s="3">
        <f t="shared" si="104"/>
        <v>8.279196708727888E-3</v>
      </c>
      <c r="BH234" s="3">
        <f t="shared" si="105"/>
        <v>5.0541810799707675E-3</v>
      </c>
      <c r="BI234" s="3">
        <f t="shared" si="106"/>
        <v>1.6755615860070325E-2</v>
      </c>
      <c r="BJ234" s="3">
        <f t="shared" si="107"/>
        <v>2.6737163239177887E-2</v>
      </c>
    </row>
    <row r="235" spans="1:62" ht="13.5" x14ac:dyDescent="0.2">
      <c r="A235" s="28">
        <v>44494</v>
      </c>
      <c r="B235" s="29">
        <v>307.56732199999999</v>
      </c>
      <c r="C235" s="29">
        <v>148.42338599999999</v>
      </c>
      <c r="D235" s="29">
        <v>3320.3701169999999</v>
      </c>
      <c r="E235" s="29">
        <v>2748.9399410000001</v>
      </c>
      <c r="F235" s="29">
        <v>1024.8599850000001</v>
      </c>
      <c r="G235" s="29">
        <v>2775.459961</v>
      </c>
      <c r="H235" s="29">
        <v>328.69000199999999</v>
      </c>
      <c r="I235" s="29">
        <v>231.63163800000001</v>
      </c>
      <c r="J235" s="29">
        <v>290.26001000000002</v>
      </c>
      <c r="K235" s="29">
        <v>170.94000199999999</v>
      </c>
      <c r="L235" s="26">
        <v>4566.4799999999996</v>
      </c>
      <c r="N235" s="3">
        <f t="shared" si="89"/>
        <v>6.4051873302901335E-3</v>
      </c>
      <c r="O235" s="3">
        <f t="shared" si="90"/>
        <v>4.5644257154848124E-3</v>
      </c>
      <c r="P235" s="3">
        <f t="shared" si="91"/>
        <v>1.6636073518724547E-2</v>
      </c>
      <c r="Q235" s="3">
        <f t="shared" si="92"/>
        <v>1.3452503519705575E-2</v>
      </c>
      <c r="R235" s="3">
        <f t="shared" si="93"/>
        <v>-6.2937843325929568E-3</v>
      </c>
      <c r="S235" s="3">
        <f t="shared" si="94"/>
        <v>6.4573049586027853E-3</v>
      </c>
      <c r="T235" s="3">
        <f t="shared" si="95"/>
        <v>-3.9974302815723589E-2</v>
      </c>
      <c r="U235" s="3">
        <f t="shared" si="96"/>
        <v>6.4805583053530152E-2</v>
      </c>
      <c r="V235" s="3">
        <f t="shared" si="97"/>
        <v>2.0305834918735782E-3</v>
      </c>
      <c r="W235" s="3">
        <f t="shared" si="98"/>
        <v>2.6873417199609179E-3</v>
      </c>
      <c r="X235" s="3">
        <f t="shared" si="99"/>
        <v>1.818128616510003E-3</v>
      </c>
      <c r="AK235" s="3"/>
      <c r="AL235" s="8"/>
      <c r="AW235" s="3"/>
      <c r="AY235" s="5"/>
      <c r="AZ235" s="28">
        <v>44490</v>
      </c>
      <c r="BA235" s="3">
        <f t="shared" si="108"/>
        <v>230</v>
      </c>
      <c r="BB235" s="3">
        <f t="shared" si="100"/>
        <v>1.4757555064923498</v>
      </c>
      <c r="BC235" s="3">
        <f t="shared" si="101"/>
        <v>1.4369160360496325</v>
      </c>
      <c r="BD235" s="3">
        <f t="shared" si="102"/>
        <v>2.6808088172407847</v>
      </c>
      <c r="BE235" s="3">
        <f t="shared" si="103"/>
        <v>1.8799703801122394</v>
      </c>
      <c r="BG235" s="3">
        <f t="shared" si="104"/>
        <v>-9.6902439803630436E-3</v>
      </c>
      <c r="BH235" s="3">
        <f t="shared" si="105"/>
        <v>-1.0440126187445208E-2</v>
      </c>
      <c r="BI235" s="3">
        <f t="shared" si="106"/>
        <v>-3.2231483276981346E-3</v>
      </c>
      <c r="BJ235" s="3">
        <f t="shared" si="107"/>
        <v>5.343468491300382E-3</v>
      </c>
    </row>
    <row r="236" spans="1:62" ht="13.5" x14ac:dyDescent="0.2">
      <c r="A236" s="28">
        <v>44495</v>
      </c>
      <c r="B236" s="29">
        <v>309.54367100000002</v>
      </c>
      <c r="C236" s="29">
        <v>149.10240200000001</v>
      </c>
      <c r="D236" s="29">
        <v>3376.070068</v>
      </c>
      <c r="E236" s="29">
        <v>2786.169922</v>
      </c>
      <c r="F236" s="29">
        <v>1018.429993</v>
      </c>
      <c r="G236" s="29">
        <v>2793.4399410000001</v>
      </c>
      <c r="H236" s="29">
        <v>315.80999800000001</v>
      </c>
      <c r="I236" s="29">
        <v>247.13973999999999</v>
      </c>
      <c r="J236" s="29">
        <v>290.85000600000001</v>
      </c>
      <c r="K236" s="29">
        <v>171.39999399999999</v>
      </c>
      <c r="L236" s="26">
        <v>4574.79</v>
      </c>
      <c r="N236" s="3">
        <f t="shared" si="89"/>
        <v>4.1251565040320605E-2</v>
      </c>
      <c r="O236" s="3">
        <f t="shared" si="90"/>
        <v>-3.152565992543121E-3</v>
      </c>
      <c r="P236" s="3">
        <f t="shared" si="91"/>
        <v>4.8518308384817308E-3</v>
      </c>
      <c r="Q236" s="3">
        <f t="shared" si="92"/>
        <v>4.8404402395086962E-2</v>
      </c>
      <c r="R236" s="3">
        <f t="shared" si="93"/>
        <v>1.8898667508161181E-2</v>
      </c>
      <c r="S236" s="3">
        <f t="shared" si="94"/>
        <v>4.7233646587523097E-2</v>
      </c>
      <c r="T236" s="3">
        <f t="shared" si="95"/>
        <v>-1.1432689867031018E-2</v>
      </c>
      <c r="U236" s="3">
        <f t="shared" si="96"/>
        <v>-1.0820186514173087E-2</v>
      </c>
      <c r="V236" s="3">
        <f t="shared" si="97"/>
        <v>-1.0611395125565829E-2</v>
      </c>
      <c r="W236" s="3">
        <f t="shared" si="98"/>
        <v>-2.104839692093605E-2</v>
      </c>
      <c r="X236" s="3">
        <f t="shared" si="99"/>
        <v>-5.0644004514438486E-3</v>
      </c>
      <c r="AK236" s="3"/>
      <c r="AL236" s="8"/>
      <c r="AW236" s="3"/>
      <c r="AY236" s="5"/>
      <c r="AZ236" s="28">
        <v>44491</v>
      </c>
      <c r="BA236" s="3">
        <f t="shared" si="108"/>
        <v>231</v>
      </c>
      <c r="BB236" s="3">
        <f t="shared" si="100"/>
        <v>1.4615241396487726</v>
      </c>
      <c r="BC236" s="3">
        <f t="shared" si="101"/>
        <v>1.4219924887217705</v>
      </c>
      <c r="BD236" s="3">
        <f t="shared" si="102"/>
        <v>2.6721820828752061</v>
      </c>
      <c r="BE236" s="3">
        <f t="shared" si="103"/>
        <v>1.89004282954478</v>
      </c>
      <c r="BG236" s="3">
        <f t="shared" si="104"/>
        <v>1.8377668221204551E-2</v>
      </c>
      <c r="BH236" s="3">
        <f t="shared" si="105"/>
        <v>8.8443208641119913E-3</v>
      </c>
      <c r="BI236" s="3">
        <f t="shared" si="106"/>
        <v>4.1054318376201972E-2</v>
      </c>
      <c r="BJ236" s="3">
        <f t="shared" si="107"/>
        <v>6.9585711343632464E-2</v>
      </c>
    </row>
    <row r="237" spans="1:62" ht="13.5" x14ac:dyDescent="0.2">
      <c r="A237" s="28">
        <v>44496</v>
      </c>
      <c r="B237" s="29">
        <v>322.57986499999998</v>
      </c>
      <c r="C237" s="29">
        <v>148.63308699999999</v>
      </c>
      <c r="D237" s="29">
        <v>3392.48999</v>
      </c>
      <c r="E237" s="29">
        <v>2924.3500979999999</v>
      </c>
      <c r="F237" s="29">
        <v>1037.8599850000001</v>
      </c>
      <c r="G237" s="29">
        <v>2928.5500489999999</v>
      </c>
      <c r="H237" s="29">
        <v>312.22000100000002</v>
      </c>
      <c r="I237" s="29">
        <v>244.48005699999999</v>
      </c>
      <c r="J237" s="29">
        <v>287.77999899999998</v>
      </c>
      <c r="K237" s="29">
        <v>167.83000200000001</v>
      </c>
      <c r="L237" s="27">
        <v>4551.68</v>
      </c>
      <c r="N237" s="3">
        <f t="shared" si="89"/>
        <v>3.6446166392929595E-3</v>
      </c>
      <c r="O237" s="3">
        <f t="shared" si="90"/>
        <v>2.4684354046474795E-2</v>
      </c>
      <c r="P237" s="3">
        <f t="shared" si="91"/>
        <v>1.5815391230809391E-2</v>
      </c>
      <c r="Q237" s="3">
        <f t="shared" si="92"/>
        <v>-2.5234396319010026E-3</v>
      </c>
      <c r="R237" s="3">
        <f t="shared" si="93"/>
        <v>3.7055687463885871E-2</v>
      </c>
      <c r="S237" s="3">
        <f t="shared" si="94"/>
        <v>-2.0406222189796887E-3</v>
      </c>
      <c r="T237" s="3">
        <f t="shared" si="95"/>
        <v>1.4941346385465534E-2</v>
      </c>
      <c r="U237" s="3">
        <f t="shared" si="96"/>
        <v>1.9841977179429426E-2</v>
      </c>
      <c r="V237" s="3">
        <f t="shared" si="97"/>
        <v>6.7186469183390524E-3</v>
      </c>
      <c r="W237" s="3">
        <f t="shared" si="98"/>
        <v>1.4962276688026828E-2</v>
      </c>
      <c r="X237" s="3">
        <f t="shared" si="99"/>
        <v>9.7813440400895506E-3</v>
      </c>
      <c r="AK237" s="3"/>
      <c r="AL237" s="8"/>
      <c r="AW237" s="3"/>
      <c r="AY237" s="5"/>
      <c r="AZ237" s="28">
        <v>44494</v>
      </c>
      <c r="BA237" s="3">
        <f t="shared" si="108"/>
        <v>232</v>
      </c>
      <c r="BB237" s="3">
        <f t="shared" si="100"/>
        <v>1.4886318708901709</v>
      </c>
      <c r="BC237" s="3">
        <f t="shared" si="101"/>
        <v>1.4346248264386006</v>
      </c>
      <c r="BD237" s="3">
        <f t="shared" si="102"/>
        <v>2.7841697569174526</v>
      </c>
      <c r="BE237" s="3">
        <f t="shared" si="103"/>
        <v>2.0262467726431974</v>
      </c>
      <c r="BG237" s="3">
        <f t="shared" si="104"/>
        <v>8.6606075827095723E-3</v>
      </c>
      <c r="BH237" s="3">
        <f t="shared" si="105"/>
        <v>7.1513873163361764E-3</v>
      </c>
      <c r="BI237" s="3">
        <f t="shared" si="106"/>
        <v>1.3755204464948051E-2</v>
      </c>
      <c r="BJ237" s="3">
        <f t="shared" si="107"/>
        <v>1.7265810141627376E-2</v>
      </c>
    </row>
    <row r="238" spans="1:62" ht="13.5" x14ac:dyDescent="0.2">
      <c r="A238" s="28">
        <v>44497</v>
      </c>
      <c r="B238" s="29">
        <v>323.75769000000003</v>
      </c>
      <c r="C238" s="29">
        <v>152.347656</v>
      </c>
      <c r="D238" s="29">
        <v>3446.570068</v>
      </c>
      <c r="E238" s="29">
        <v>2916.9799800000001</v>
      </c>
      <c r="F238" s="29">
        <v>1077.040039</v>
      </c>
      <c r="G238" s="29">
        <v>2922.580078</v>
      </c>
      <c r="H238" s="29">
        <v>316.92001299999998</v>
      </c>
      <c r="I238" s="29">
        <v>249.379471</v>
      </c>
      <c r="J238" s="29">
        <v>289.72000100000002</v>
      </c>
      <c r="K238" s="29">
        <v>170.36000100000001</v>
      </c>
      <c r="L238" s="27">
        <v>4596.42</v>
      </c>
      <c r="N238" s="3">
        <f t="shared" si="89"/>
        <v>2.2166525419151834E-2</v>
      </c>
      <c r="O238" s="3">
        <f t="shared" si="90"/>
        <v>-1.832241457468434E-2</v>
      </c>
      <c r="P238" s="3">
        <f t="shared" si="91"/>
        <v>-2.1746020721742716E-2</v>
      </c>
      <c r="Q238" s="3">
        <f t="shared" si="92"/>
        <v>1.4951176865541956E-2</v>
      </c>
      <c r="R238" s="3">
        <f t="shared" si="93"/>
        <v>3.3740567605896395E-2</v>
      </c>
      <c r="S238" s="3">
        <f t="shared" si="94"/>
        <v>1.454845864499609E-2</v>
      </c>
      <c r="T238" s="3">
        <f t="shared" si="95"/>
        <v>2.0766078357830661E-2</v>
      </c>
      <c r="U238" s="3">
        <f t="shared" si="96"/>
        <v>2.4789411011059314E-2</v>
      </c>
      <c r="V238" s="3">
        <f t="shared" si="97"/>
        <v>-9.3978495785571152E-3</v>
      </c>
      <c r="W238" s="3">
        <f t="shared" si="98"/>
        <v>-2.7626880172737494E-3</v>
      </c>
      <c r="X238" s="3">
        <f t="shared" si="99"/>
        <v>1.9474456805769699E-3</v>
      </c>
      <c r="AK238" s="3"/>
      <c r="AL238" s="8"/>
      <c r="AW238" s="3"/>
      <c r="AY238" s="5"/>
      <c r="AZ238" s="28">
        <v>44495</v>
      </c>
      <c r="BA238" s="3">
        <f t="shared" si="108"/>
        <v>233</v>
      </c>
      <c r="BB238" s="3">
        <f t="shared" si="100"/>
        <v>1.501580317130617</v>
      </c>
      <c r="BC238" s="3">
        <f t="shared" si="101"/>
        <v>1.4449211568680143</v>
      </c>
      <c r="BD238" s="3">
        <f t="shared" si="102"/>
        <v>2.822731183340033</v>
      </c>
      <c r="BE238" s="3">
        <f t="shared" si="103"/>
        <v>2.0615353308464366</v>
      </c>
      <c r="BG238" s="3">
        <f t="shared" si="104"/>
        <v>1.2011379826951843E-2</v>
      </c>
      <c r="BH238" s="3">
        <f t="shared" si="105"/>
        <v>1.2302899521801643E-2</v>
      </c>
      <c r="BI238" s="3">
        <f t="shared" si="106"/>
        <v>1.6662820613008431E-2</v>
      </c>
      <c r="BJ238" s="3">
        <f t="shared" si="107"/>
        <v>1.9953256555770491E-2</v>
      </c>
    </row>
    <row r="239" spans="1:62" ht="13.5" x14ac:dyDescent="0.2">
      <c r="A239" s="28">
        <v>44498</v>
      </c>
      <c r="B239" s="29">
        <v>331.01440400000001</v>
      </c>
      <c r="C239" s="29">
        <v>149.58169599999999</v>
      </c>
      <c r="D239" s="29">
        <v>3372.429932</v>
      </c>
      <c r="E239" s="29">
        <v>2960.919922</v>
      </c>
      <c r="F239" s="29">
        <v>1114</v>
      </c>
      <c r="G239" s="29">
        <v>2965.4099120000001</v>
      </c>
      <c r="H239" s="29">
        <v>323.57000699999998</v>
      </c>
      <c r="I239" s="29">
        <v>255.63870199999999</v>
      </c>
      <c r="J239" s="29">
        <v>287.01001000000002</v>
      </c>
      <c r="K239" s="29">
        <v>169.88999899999999</v>
      </c>
      <c r="L239" s="27">
        <v>4605.38</v>
      </c>
      <c r="N239" s="3">
        <f t="shared" si="89"/>
        <v>-6.8079623739409423E-3</v>
      </c>
      <c r="O239" s="3">
        <f t="shared" si="90"/>
        <v>-5.6232584591409569E-3</v>
      </c>
      <c r="P239" s="3">
        <f t="shared" si="91"/>
        <v>-1.6238156637718621E-2</v>
      </c>
      <c r="Q239" s="3">
        <f t="shared" si="92"/>
        <v>-3.1208901440210251E-2</v>
      </c>
      <c r="R239" s="3">
        <f t="shared" si="93"/>
        <v>8.1497221237968237E-2</v>
      </c>
      <c r="S239" s="3">
        <f t="shared" si="94"/>
        <v>-3.0795663266950938E-2</v>
      </c>
      <c r="T239" s="3">
        <f t="shared" si="95"/>
        <v>1.9616584423964717E-2</v>
      </c>
      <c r="U239" s="3">
        <f t="shared" si="96"/>
        <v>1.0117957404445625E-2</v>
      </c>
      <c r="V239" s="3">
        <f t="shared" si="97"/>
        <v>-2.6865083754866173E-3</v>
      </c>
      <c r="W239" s="3">
        <f t="shared" si="98"/>
        <v>-5.2987136257028056E-4</v>
      </c>
      <c r="X239" s="3">
        <f t="shared" si="99"/>
        <v>1.7984504334932693E-3</v>
      </c>
      <c r="AK239" s="3"/>
      <c r="AL239" s="8"/>
      <c r="AW239" s="3"/>
      <c r="AY239" s="5"/>
      <c r="AZ239" s="28">
        <v>44496</v>
      </c>
      <c r="BA239" s="3">
        <f t="shared" si="108"/>
        <v>234</v>
      </c>
      <c r="BB239" s="3">
        <f t="shared" si="100"/>
        <v>1.5197251225851418</v>
      </c>
      <c r="BC239" s="3">
        <f t="shared" si="101"/>
        <v>1.4628076791107698</v>
      </c>
      <c r="BD239" s="3">
        <f t="shared" si="102"/>
        <v>2.8701598973886457</v>
      </c>
      <c r="BE239" s="3">
        <f t="shared" si="103"/>
        <v>2.1030827994108909</v>
      </c>
      <c r="BG239" s="3">
        <f t="shared" si="104"/>
        <v>1.394341824570524E-2</v>
      </c>
      <c r="BH239" s="3">
        <f t="shared" si="105"/>
        <v>1.0941105285570445E-2</v>
      </c>
      <c r="BI239" s="3">
        <f t="shared" si="106"/>
        <v>2.0612906640160879E-2</v>
      </c>
      <c r="BJ239" s="3">
        <f t="shared" si="107"/>
        <v>2.8742507515086651E-2</v>
      </c>
    </row>
    <row r="240" spans="1:62" ht="13.5" x14ac:dyDescent="0.2">
      <c r="A240" s="28">
        <v>44501</v>
      </c>
      <c r="B240" s="29">
        <v>328.76852400000001</v>
      </c>
      <c r="C240" s="29">
        <v>148.74292</v>
      </c>
      <c r="D240" s="29">
        <v>3318.110107</v>
      </c>
      <c r="E240" s="29">
        <v>2869.9399410000001</v>
      </c>
      <c r="F240" s="29">
        <v>1208.589966</v>
      </c>
      <c r="G240" s="29">
        <v>2875.4799800000001</v>
      </c>
      <c r="H240" s="29">
        <v>329.98001099999999</v>
      </c>
      <c r="I240" s="29">
        <v>258.23837300000002</v>
      </c>
      <c r="J240" s="29">
        <v>286.23998999999998</v>
      </c>
      <c r="K240" s="29">
        <v>169.800003</v>
      </c>
      <c r="L240" s="27">
        <v>4613.67</v>
      </c>
      <c r="N240" s="3">
        <f t="shared" si="89"/>
        <v>1.1351093209992101E-2</v>
      </c>
      <c r="O240" s="3">
        <f t="shared" si="90"/>
        <v>7.0908099673786121E-3</v>
      </c>
      <c r="P240" s="3">
        <f t="shared" si="91"/>
        <v>-1.6167158048919733E-3</v>
      </c>
      <c r="Q240" s="3">
        <f t="shared" si="92"/>
        <v>1.3397919250260919E-2</v>
      </c>
      <c r="R240" s="3">
        <f t="shared" si="93"/>
        <v>-3.0742671588239557E-2</v>
      </c>
      <c r="S240" s="3">
        <f t="shared" si="94"/>
        <v>1.4425213131926481E-2</v>
      </c>
      <c r="T240" s="3">
        <f t="shared" si="95"/>
        <v>-5.7746384393301594E-3</v>
      </c>
      <c r="U240" s="3">
        <f t="shared" si="96"/>
        <v>2.1981514855021488E-2</v>
      </c>
      <c r="V240" s="3">
        <f t="shared" si="97"/>
        <v>5.886785901446907E-3</v>
      </c>
      <c r="W240" s="3">
        <f t="shared" si="98"/>
        <v>3.9380424838768649E-3</v>
      </c>
      <c r="X240" s="3">
        <f t="shared" si="99"/>
        <v>3.673611276116367E-3</v>
      </c>
      <c r="AK240" s="3"/>
      <c r="AL240" s="8"/>
      <c r="AW240" s="3"/>
      <c r="AY240" s="5"/>
      <c r="AZ240" s="28">
        <v>44497</v>
      </c>
      <c r="BA240" s="3">
        <f t="shared" si="108"/>
        <v>235</v>
      </c>
      <c r="BB240" s="3">
        <f t="shared" si="100"/>
        <v>1.5410637062688226</v>
      </c>
      <c r="BC240" s="3">
        <f t="shared" si="101"/>
        <v>1.4789002868644558</v>
      </c>
      <c r="BD240" s="3">
        <f t="shared" si="102"/>
        <v>2.9299362005500003</v>
      </c>
      <c r="BE240" s="3">
        <f t="shared" si="103"/>
        <v>2.1644077674379241</v>
      </c>
      <c r="BG240" s="3">
        <f t="shared" si="104"/>
        <v>1.0901328411477092E-2</v>
      </c>
      <c r="BH240" s="3">
        <f t="shared" si="105"/>
        <v>7.183704101697188E-3</v>
      </c>
      <c r="BI240" s="3">
        <f t="shared" si="106"/>
        <v>1.7292013457578588E-2</v>
      </c>
      <c r="BJ240" s="3">
        <f t="shared" si="107"/>
        <v>2.368109421145996E-2</v>
      </c>
    </row>
    <row r="241" spans="1:62" ht="13.5" x14ac:dyDescent="0.2">
      <c r="A241" s="28">
        <v>44502</v>
      </c>
      <c r="B241" s="29">
        <v>332.52166699999998</v>
      </c>
      <c r="C241" s="29">
        <v>149.801376</v>
      </c>
      <c r="D241" s="29">
        <v>3312.75</v>
      </c>
      <c r="E241" s="29">
        <v>2908.6499020000001</v>
      </c>
      <c r="F241" s="29">
        <v>1172</v>
      </c>
      <c r="G241" s="29">
        <v>2917.26001</v>
      </c>
      <c r="H241" s="29">
        <v>328.07998700000002</v>
      </c>
      <c r="I241" s="29">
        <v>263.97769199999999</v>
      </c>
      <c r="J241" s="29">
        <v>287.92999300000002</v>
      </c>
      <c r="K241" s="29">
        <v>170.470001</v>
      </c>
      <c r="L241" s="27">
        <v>4630.6499999999996</v>
      </c>
      <c r="N241" s="3">
        <f t="shared" si="89"/>
        <v>2.6080889601016628E-3</v>
      </c>
      <c r="O241" s="3">
        <f t="shared" si="90"/>
        <v>9.7510454214689967E-3</v>
      </c>
      <c r="P241" s="3">
        <f t="shared" si="91"/>
        <v>2.1279781581368416E-2</v>
      </c>
      <c r="Q241" s="3">
        <f t="shared" si="92"/>
        <v>7.9821057428674461E-3</v>
      </c>
      <c r="R241" s="3">
        <f t="shared" si="93"/>
        <v>3.5093661223146035E-2</v>
      </c>
      <c r="S241" s="3">
        <f t="shared" si="94"/>
        <v>6.3351822195760327E-3</v>
      </c>
      <c r="T241" s="3">
        <f t="shared" si="95"/>
        <v>1.0732278536406962E-2</v>
      </c>
      <c r="U241" s="3">
        <f t="shared" si="96"/>
        <v>7.4341295377559815E-3</v>
      </c>
      <c r="V241" s="3">
        <f t="shared" si="97"/>
        <v>2.7399930719596535E-3</v>
      </c>
      <c r="W241" s="3">
        <f t="shared" si="98"/>
        <v>3.5189443178381736E-4</v>
      </c>
      <c r="X241" s="3">
        <f t="shared" si="99"/>
        <v>6.4405112404735685E-3</v>
      </c>
      <c r="AK241" s="3"/>
      <c r="AL241" s="8"/>
      <c r="AW241" s="3"/>
      <c r="AY241" s="5"/>
      <c r="AZ241" s="28">
        <v>44498</v>
      </c>
      <c r="BA241" s="3">
        <f t="shared" si="108"/>
        <v>236</v>
      </c>
      <c r="BB241" s="3">
        <f t="shared" si="100"/>
        <v>1.5579552506896199</v>
      </c>
      <c r="BC241" s="3">
        <f t="shared" si="101"/>
        <v>1.4895625202334544</v>
      </c>
      <c r="BD241" s="3">
        <f t="shared" si="102"/>
        <v>2.9810412781845526</v>
      </c>
      <c r="BE241" s="3">
        <f t="shared" si="103"/>
        <v>2.2162750245090437</v>
      </c>
      <c r="BG241" s="3">
        <f t="shared" si="104"/>
        <v>5.9613939146024707E-3</v>
      </c>
      <c r="BH241" s="3">
        <f t="shared" si="105"/>
        <v>-2.3260253749184268E-3</v>
      </c>
      <c r="BI241" s="3">
        <f t="shared" si="106"/>
        <v>2.328590631725173E-2</v>
      </c>
      <c r="BJ241" s="3">
        <f t="shared" si="107"/>
        <v>4.4166993622551651E-2</v>
      </c>
    </row>
    <row r="242" spans="1:62" ht="13.5" x14ac:dyDescent="0.2">
      <c r="A242" s="28">
        <v>44503</v>
      </c>
      <c r="B242" s="29">
        <v>333.39004499999999</v>
      </c>
      <c r="C242" s="29">
        <v>151.26924099999999</v>
      </c>
      <c r="D242" s="29">
        <v>3384</v>
      </c>
      <c r="E242" s="29">
        <v>2931.959961</v>
      </c>
      <c r="F242" s="29">
        <v>1213.8599850000001</v>
      </c>
      <c r="G242" s="29">
        <v>2935.8000489999999</v>
      </c>
      <c r="H242" s="29">
        <v>331.61999500000002</v>
      </c>
      <c r="I242" s="29">
        <v>265.94744900000001</v>
      </c>
      <c r="J242" s="29">
        <v>288.72000100000002</v>
      </c>
      <c r="K242" s="29">
        <v>170.529999</v>
      </c>
      <c r="L242" s="27">
        <v>4660.57</v>
      </c>
      <c r="N242" s="3">
        <f t="shared" si="89"/>
        <v>7.2788429277123165E-3</v>
      </c>
      <c r="O242" s="3">
        <f t="shared" si="90"/>
        <v>-3.5047704581560018E-3</v>
      </c>
      <c r="P242" s="3">
        <f t="shared" si="91"/>
        <v>2.7111411281747554E-2</v>
      </c>
      <c r="Q242" s="3">
        <f t="shared" si="92"/>
        <v>1.1323974311433772E-2</v>
      </c>
      <c r="R242" s="3">
        <f t="shared" si="93"/>
        <v>1.313567124184211E-2</v>
      </c>
      <c r="S242" s="3">
        <f t="shared" si="94"/>
        <v>1.2813482535223799E-2</v>
      </c>
      <c r="T242" s="3">
        <f t="shared" si="95"/>
        <v>1.2674929582263595E-2</v>
      </c>
      <c r="U242" s="3">
        <f t="shared" si="96"/>
        <v>0.11370586417902882</v>
      </c>
      <c r="V242" s="3">
        <f t="shared" si="97"/>
        <v>-3.5738453216741053E-3</v>
      </c>
      <c r="W242" s="3">
        <f t="shared" si="98"/>
        <v>-1.3222588330636897E-2</v>
      </c>
      <c r="X242" s="3">
        <f t="shared" si="99"/>
        <v>4.1731721062601788E-3</v>
      </c>
      <c r="AK242" s="3"/>
      <c r="AL242" s="8"/>
      <c r="AW242" s="3"/>
      <c r="AY242" s="5"/>
      <c r="AZ242" s="28">
        <v>44501</v>
      </c>
      <c r="BA242" s="3">
        <f t="shared" si="108"/>
        <v>237</v>
      </c>
      <c r="BB242" s="3">
        <f t="shared" si="100"/>
        <v>1.5672705742092925</v>
      </c>
      <c r="BC242" s="3">
        <f t="shared" si="101"/>
        <v>1.4861017864514878</v>
      </c>
      <c r="BD242" s="3">
        <f t="shared" si="102"/>
        <v>3.0512720462316927</v>
      </c>
      <c r="BE242" s="3">
        <f t="shared" si="103"/>
        <v>2.3163550784214166</v>
      </c>
      <c r="BG242" s="3">
        <f t="shared" si="104"/>
        <v>3.0055140733876093E-3</v>
      </c>
      <c r="BH242" s="3">
        <f t="shared" si="105"/>
        <v>5.618795391366835E-3</v>
      </c>
      <c r="BI242" s="3">
        <f t="shared" si="106"/>
        <v>-2.7702476444871451E-3</v>
      </c>
      <c r="BJ242" s="3">
        <f t="shared" si="107"/>
        <v>-1.0505140543354925E-2</v>
      </c>
    </row>
    <row r="243" spans="1:62" ht="13.5" x14ac:dyDescent="0.2">
      <c r="A243" s="28">
        <v>44504</v>
      </c>
      <c r="B243" s="29">
        <v>335.82559199999997</v>
      </c>
      <c r="C243" s="29">
        <v>150.740005</v>
      </c>
      <c r="D243" s="29">
        <v>3477</v>
      </c>
      <c r="E243" s="29">
        <v>2965.3500979999999</v>
      </c>
      <c r="F243" s="29">
        <v>1229.910034</v>
      </c>
      <c r="G243" s="29">
        <v>2973.6599120000001</v>
      </c>
      <c r="H243" s="29">
        <v>335.85000600000001</v>
      </c>
      <c r="I243" s="29">
        <v>297.97351099999997</v>
      </c>
      <c r="J243" s="29">
        <v>287.69000199999999</v>
      </c>
      <c r="K243" s="29">
        <v>168.28999300000001</v>
      </c>
      <c r="L243" s="27">
        <v>4680.0600000000004</v>
      </c>
      <c r="N243" s="3">
        <f t="shared" si="89"/>
        <v>-1.1301025742453273E-3</v>
      </c>
      <c r="O243" s="3">
        <f t="shared" si="90"/>
        <v>3.5758861549236198E-3</v>
      </c>
      <c r="P243" s="3">
        <f t="shared" si="91"/>
        <v>1.2004160751564982E-2</v>
      </c>
      <c r="Q243" s="3">
        <f t="shared" si="92"/>
        <v>3.9344290126532748E-3</v>
      </c>
      <c r="R243" s="3">
        <f t="shared" si="93"/>
        <v>-6.3785436491066282E-3</v>
      </c>
      <c r="S243" s="3">
        <f t="shared" si="94"/>
        <v>3.7459785340319073E-3</v>
      </c>
      <c r="T243" s="3">
        <f t="shared" si="95"/>
        <v>1.5599001383918017E-2</v>
      </c>
      <c r="U243" s="3">
        <f t="shared" si="96"/>
        <v>-1.6456605919831857E-3</v>
      </c>
      <c r="V243" s="3">
        <f t="shared" si="97"/>
        <v>6.6022553152883274E-4</v>
      </c>
      <c r="W243" s="3">
        <f t="shared" si="98"/>
        <v>-1.4270681071707658E-3</v>
      </c>
      <c r="X243" s="3">
        <f t="shared" si="99"/>
        <v>3.7259083006282606E-3</v>
      </c>
      <c r="AK243" s="3"/>
      <c r="AL243" s="8"/>
      <c r="AW243" s="3"/>
      <c r="AY243" s="5"/>
      <c r="AZ243" s="28">
        <v>44502</v>
      </c>
      <c r="BA243" s="3">
        <f t="shared" si="108"/>
        <v>238</v>
      </c>
      <c r="BB243" s="3">
        <f t="shared" si="100"/>
        <v>1.57198811374144</v>
      </c>
      <c r="BC243" s="3">
        <f t="shared" si="101"/>
        <v>1.4944753910756914</v>
      </c>
      <c r="BD243" s="3">
        <f t="shared" si="102"/>
        <v>3.0428309643747578</v>
      </c>
      <c r="BE243" s="3">
        <f t="shared" si="103"/>
        <v>2.2921488105099943</v>
      </c>
      <c r="BG243" s="3">
        <f t="shared" si="104"/>
        <v>1.1480404678030196E-2</v>
      </c>
      <c r="BH243" s="3">
        <f t="shared" si="105"/>
        <v>8.7359820592581884E-3</v>
      </c>
      <c r="BI243" s="3">
        <f t="shared" si="106"/>
        <v>1.7827778680557682E-2</v>
      </c>
      <c r="BJ243" s="3">
        <f t="shared" si="107"/>
        <v>2.5134514841394923E-2</v>
      </c>
    </row>
    <row r="244" spans="1:62" ht="13.5" x14ac:dyDescent="0.2">
      <c r="A244" s="28">
        <v>44505</v>
      </c>
      <c r="B244" s="29">
        <v>335.44628899999998</v>
      </c>
      <c r="C244" s="29">
        <v>151.279999</v>
      </c>
      <c r="D244" s="29">
        <v>3518.98999</v>
      </c>
      <c r="E244" s="29">
        <v>2977.040039</v>
      </c>
      <c r="F244" s="29">
        <v>1222.089966</v>
      </c>
      <c r="G244" s="29">
        <v>2984.820068</v>
      </c>
      <c r="H244" s="29">
        <v>341.13000499999998</v>
      </c>
      <c r="I244" s="29">
        <v>297.48355099999998</v>
      </c>
      <c r="J244" s="29">
        <v>287.88000499999998</v>
      </c>
      <c r="K244" s="29">
        <v>168.050003</v>
      </c>
      <c r="L244" s="27">
        <v>4697.53</v>
      </c>
      <c r="N244" s="3">
        <f t="shared" si="89"/>
        <v>2.7635776197993118E-3</v>
      </c>
      <c r="O244" s="3">
        <f t="shared" si="90"/>
        <v>-5.5680708434708596E-3</v>
      </c>
      <c r="P244" s="3">
        <f t="shared" si="91"/>
        <v>-8.5645896229352876E-3</v>
      </c>
      <c r="Q244" s="3">
        <f t="shared" si="92"/>
        <v>1.2018404330508198E-3</v>
      </c>
      <c r="R244" s="3">
        <f t="shared" si="93"/>
        <v>-4.9611249212180235E-2</v>
      </c>
      <c r="S244" s="3">
        <f t="shared" si="94"/>
        <v>7.4012611334392736E-4</v>
      </c>
      <c r="T244" s="3">
        <f t="shared" si="95"/>
        <v>-7.3851310276383609E-3</v>
      </c>
      <c r="U244" s="3">
        <f t="shared" si="96"/>
        <v>3.4748282063348901E-2</v>
      </c>
      <c r="V244" s="3">
        <f t="shared" si="97"/>
        <v>3.1906214594724981E-3</v>
      </c>
      <c r="W244" s="3">
        <f t="shared" si="98"/>
        <v>5.9920976477177493E-3</v>
      </c>
      <c r="X244" s="3">
        <f t="shared" si="99"/>
        <v>8.8730678440489285E-4</v>
      </c>
      <c r="AK244" s="3"/>
      <c r="AL244" s="8"/>
      <c r="AW244" s="3"/>
      <c r="AY244" s="5"/>
      <c r="AZ244" s="28">
        <v>44503</v>
      </c>
      <c r="BA244" s="3">
        <f t="shared" si="108"/>
        <v>239</v>
      </c>
      <c r="BB244" s="3">
        <f t="shared" si="100"/>
        <v>1.5901391647837542</v>
      </c>
      <c r="BC244" s="3">
        <f t="shared" si="101"/>
        <v>1.5075882949314434</v>
      </c>
      <c r="BD244" s="3">
        <f t="shared" si="102"/>
        <v>3.0975643187849919</v>
      </c>
      <c r="BE244" s="3">
        <f t="shared" si="103"/>
        <v>2.3504909885662846</v>
      </c>
      <c r="BG244" s="3">
        <f t="shared" si="104"/>
        <v>2.1585850892973522E-2</v>
      </c>
      <c r="BH244" s="3">
        <f t="shared" si="105"/>
        <v>1.5155124273206479E-2</v>
      </c>
      <c r="BI244" s="3">
        <f t="shared" si="106"/>
        <v>3.0420394266967809E-2</v>
      </c>
      <c r="BJ244" s="3">
        <f t="shared" si="107"/>
        <v>3.6999339480194578E-2</v>
      </c>
    </row>
    <row r="245" spans="1:62" ht="13.5" x14ac:dyDescent="0.2">
      <c r="A245" s="28">
        <v>44508</v>
      </c>
      <c r="B245" s="29">
        <v>336.37460299999998</v>
      </c>
      <c r="C245" s="29">
        <v>150.44000199999999</v>
      </c>
      <c r="D245" s="29">
        <v>3488.9799800000001</v>
      </c>
      <c r="E245" s="29">
        <v>2980.6201169999999</v>
      </c>
      <c r="F245" s="29">
        <v>1162.9399410000001</v>
      </c>
      <c r="G245" s="29">
        <v>2987.030029</v>
      </c>
      <c r="H245" s="29">
        <v>338.61999500000002</v>
      </c>
      <c r="I245" s="29">
        <v>308.00228900000002</v>
      </c>
      <c r="J245" s="29">
        <v>288.79998799999998</v>
      </c>
      <c r="K245" s="29">
        <v>169.05999800000001</v>
      </c>
      <c r="L245" s="27">
        <v>4701.7</v>
      </c>
      <c r="N245" s="3">
        <f t="shared" si="89"/>
        <v>-3.0908728336836422E-3</v>
      </c>
      <c r="O245" s="3">
        <f t="shared" si="90"/>
        <v>2.4564062144014744E-3</v>
      </c>
      <c r="P245" s="3">
        <f t="shared" si="91"/>
        <v>2.4699743169517587E-2</v>
      </c>
      <c r="Q245" s="3">
        <f t="shared" si="92"/>
        <v>-7.5516153528420245E-4</v>
      </c>
      <c r="R245" s="3">
        <f t="shared" si="93"/>
        <v>-0.12772310463931505</v>
      </c>
      <c r="S245" s="3">
        <f t="shared" si="94"/>
        <v>-6.899055866411187E-4</v>
      </c>
      <c r="T245" s="3">
        <f t="shared" si="95"/>
        <v>-9.6441348928341161E-3</v>
      </c>
      <c r="U245" s="3">
        <f t="shared" si="96"/>
        <v>-4.7835237268240467E-3</v>
      </c>
      <c r="V245" s="3">
        <f t="shared" si="97"/>
        <v>-8.5195056741788795E-3</v>
      </c>
      <c r="W245" s="3">
        <f t="shared" si="98"/>
        <v>-7.6000782126995157E-3</v>
      </c>
      <c r="X245" s="3">
        <f t="shared" si="99"/>
        <v>-3.504869385575243E-3</v>
      </c>
      <c r="AK245" s="3"/>
      <c r="AL245" s="8"/>
      <c r="AW245" s="3"/>
      <c r="AY245" s="5"/>
      <c r="AZ245" s="28">
        <v>44504</v>
      </c>
      <c r="BA245" s="3">
        <f t="shared" si="108"/>
        <v>240</v>
      </c>
      <c r="BB245" s="3">
        <f t="shared" si="100"/>
        <v>1.624836813562982</v>
      </c>
      <c r="BC245" s="3">
        <f t="shared" si="101"/>
        <v>1.530609990594002</v>
      </c>
      <c r="BD245" s="3">
        <f t="shared" si="102"/>
        <v>3.1932413347214208</v>
      </c>
      <c r="BE245" s="3">
        <f t="shared" si="103"/>
        <v>2.4390864833127526</v>
      </c>
      <c r="BG245" s="3">
        <f t="shared" si="104"/>
        <v>1.7245463790392936E-3</v>
      </c>
      <c r="BH245" s="3">
        <f t="shared" si="105"/>
        <v>2.3635609942716683E-3</v>
      </c>
      <c r="BI245" s="3">
        <f t="shared" si="106"/>
        <v>-8.7101216867437861E-4</v>
      </c>
      <c r="BJ245" s="3">
        <f t="shared" si="107"/>
        <v>-3.5082353309021596E-3</v>
      </c>
    </row>
    <row r="246" spans="1:62" ht="13.5" x14ac:dyDescent="0.2">
      <c r="A246" s="28">
        <v>44509</v>
      </c>
      <c r="B246" s="29">
        <v>335.33651700000001</v>
      </c>
      <c r="C246" s="29">
        <v>150.80999800000001</v>
      </c>
      <c r="D246" s="29">
        <v>3576.2299800000001</v>
      </c>
      <c r="E246" s="29">
        <v>2978.3701169999999</v>
      </c>
      <c r="F246" s="29">
        <v>1023.5</v>
      </c>
      <c r="G246" s="29">
        <v>2984.969971</v>
      </c>
      <c r="H246" s="29">
        <v>335.36999500000002</v>
      </c>
      <c r="I246" s="29">
        <v>306.53247099999999</v>
      </c>
      <c r="J246" s="29">
        <v>286.35000600000001</v>
      </c>
      <c r="K246" s="29">
        <v>167.779999</v>
      </c>
      <c r="L246" s="27">
        <v>4685.25</v>
      </c>
      <c r="N246" s="3">
        <f t="shared" si="89"/>
        <v>-1.5448465518535502E-2</v>
      </c>
      <c r="O246" s="3">
        <f t="shared" si="90"/>
        <v>-1.9349179552826317E-2</v>
      </c>
      <c r="P246" s="3">
        <f t="shared" si="91"/>
        <v>-2.6687952445332432E-2</v>
      </c>
      <c r="Q246" s="3">
        <f t="shared" si="92"/>
        <v>-2.0522272143177558E-2</v>
      </c>
      <c r="R246" s="3">
        <f t="shared" si="93"/>
        <v>4.2512750961170694E-2</v>
      </c>
      <c r="S246" s="3">
        <f t="shared" si="94"/>
        <v>-1.7727558365803031E-2</v>
      </c>
      <c r="T246" s="3">
        <f t="shared" si="95"/>
        <v>-2.3318894612081306E-2</v>
      </c>
      <c r="U246" s="3">
        <f t="shared" si="96"/>
        <v>-3.9861597746757731E-2</v>
      </c>
      <c r="V246" s="3">
        <f t="shared" si="97"/>
        <v>-3.6034778495511802E-3</v>
      </c>
      <c r="W246" s="3">
        <f t="shared" si="98"/>
        <v>-9.5410861657890149E-4</v>
      </c>
      <c r="X246" s="3">
        <f t="shared" si="99"/>
        <v>-8.259833757375561E-3</v>
      </c>
      <c r="AK246" s="3"/>
      <c r="AL246" s="8"/>
      <c r="AW246" s="3"/>
      <c r="AY246" s="5"/>
      <c r="AZ246" s="28">
        <v>44505</v>
      </c>
      <c r="BA246" s="3">
        <f t="shared" si="108"/>
        <v>241</v>
      </c>
      <c r="BB246" s="3">
        <f t="shared" si="100"/>
        <v>1.6276413375771399</v>
      </c>
      <c r="BC246" s="3">
        <f t="shared" si="101"/>
        <v>1.5342319593510978</v>
      </c>
      <c r="BD246" s="3">
        <f t="shared" si="102"/>
        <v>3.1904611936055014</v>
      </c>
      <c r="BE246" s="3">
        <f t="shared" si="103"/>
        <v>2.4305445861904422</v>
      </c>
      <c r="BG246" s="3">
        <f t="shared" si="104"/>
        <v>-2.8097524454667264E-3</v>
      </c>
      <c r="BH246" s="3">
        <f t="shared" si="105"/>
        <v>-3.0000024157747935E-4</v>
      </c>
      <c r="BI246" s="3">
        <f t="shared" si="106"/>
        <v>-1.0692673067453079E-2</v>
      </c>
      <c r="BJ246" s="3">
        <f t="shared" si="107"/>
        <v>-2.0870826305262078E-2</v>
      </c>
    </row>
    <row r="247" spans="1:62" ht="13.5" x14ac:dyDescent="0.2">
      <c r="A247" s="28">
        <v>44510</v>
      </c>
      <c r="B247" s="29">
        <v>330.19589200000001</v>
      </c>
      <c r="C247" s="29">
        <v>147.91999799999999</v>
      </c>
      <c r="D247" s="29">
        <v>3482.0500489999999</v>
      </c>
      <c r="E247" s="29">
        <v>2917.8701169999999</v>
      </c>
      <c r="F247" s="29">
        <v>1067.9499510000001</v>
      </c>
      <c r="G247" s="29">
        <v>2932.5200199999999</v>
      </c>
      <c r="H247" s="29">
        <v>327.64001500000001</v>
      </c>
      <c r="I247" s="29">
        <v>294.55392499999999</v>
      </c>
      <c r="J247" s="29">
        <v>285.32000699999998</v>
      </c>
      <c r="K247" s="29">
        <v>167.61999499999999</v>
      </c>
      <c r="L247" s="27">
        <v>4646.71</v>
      </c>
      <c r="N247" s="3">
        <f t="shared" si="89"/>
        <v>4.9153204733352633E-3</v>
      </c>
      <c r="O247" s="3">
        <f t="shared" si="90"/>
        <v>-3.380979861365724E-4</v>
      </c>
      <c r="P247" s="3">
        <f t="shared" si="91"/>
        <v>-2.7464192321772695E-3</v>
      </c>
      <c r="Q247" s="3">
        <f t="shared" si="92"/>
        <v>-8.7089044628310176E-4</v>
      </c>
      <c r="R247" s="3">
        <f t="shared" si="93"/>
        <v>-4.1661091487001835E-3</v>
      </c>
      <c r="S247" s="3">
        <f t="shared" si="94"/>
        <v>8.3168281733984341E-4</v>
      </c>
      <c r="T247" s="3">
        <f t="shared" si="95"/>
        <v>3.0509017673018127E-4</v>
      </c>
      <c r="U247" s="3">
        <f t="shared" si="96"/>
        <v>3.1114167415852999E-2</v>
      </c>
      <c r="V247" s="3">
        <f t="shared" si="97"/>
        <v>-2.3510476251205701E-3</v>
      </c>
      <c r="W247" s="3">
        <f t="shared" si="98"/>
        <v>-5.9624735985419165E-5</v>
      </c>
      <c r="X247" s="3">
        <f t="shared" si="99"/>
        <v>5.5077572557522153E-4</v>
      </c>
      <c r="AK247" s="3"/>
      <c r="AL247" s="8"/>
      <c r="AW247" s="3"/>
      <c r="AY247" s="5"/>
      <c r="AZ247" s="28">
        <v>44508</v>
      </c>
      <c r="BA247" s="3">
        <f t="shared" si="108"/>
        <v>242</v>
      </c>
      <c r="BB247" s="3">
        <f t="shared" si="100"/>
        <v>1.6230744872125256</v>
      </c>
      <c r="BC247" s="3">
        <f t="shared" si="101"/>
        <v>1.5337717584263024</v>
      </c>
      <c r="BD247" s="3">
        <f t="shared" si="102"/>
        <v>3.156528374700811</v>
      </c>
      <c r="BE247" s="3">
        <f t="shared" si="103"/>
        <v>2.3803428108467717</v>
      </c>
      <c r="BG247" s="3">
        <f t="shared" si="104"/>
        <v>-1.9062461880733753E-2</v>
      </c>
      <c r="BH247" s="3">
        <f t="shared" si="105"/>
        <v>-9.9340697299183482E-3</v>
      </c>
      <c r="BI247" s="3">
        <f t="shared" si="106"/>
        <v>-4.0543279334719594E-2</v>
      </c>
      <c r="BJ247" s="3">
        <f t="shared" si="107"/>
        <v>-6.6494797756534288E-2</v>
      </c>
    </row>
    <row r="248" spans="1:62" ht="13.5" x14ac:dyDescent="0.2">
      <c r="A248" s="28">
        <v>44511</v>
      </c>
      <c r="B248" s="29">
        <v>331.82290599999999</v>
      </c>
      <c r="C248" s="29">
        <v>147.86999499999999</v>
      </c>
      <c r="D248" s="29">
        <v>3472.5</v>
      </c>
      <c r="E248" s="29">
        <v>2915.330078</v>
      </c>
      <c r="F248" s="29">
        <v>1063.51001</v>
      </c>
      <c r="G248" s="29">
        <v>2934.959961</v>
      </c>
      <c r="H248" s="29">
        <v>327.73998999999998</v>
      </c>
      <c r="I248" s="29">
        <v>303.86279300000001</v>
      </c>
      <c r="J248" s="29">
        <v>284.64999399999999</v>
      </c>
      <c r="K248" s="29">
        <v>167.61000100000001</v>
      </c>
      <c r="L248" s="27">
        <v>4649.2700000000004</v>
      </c>
      <c r="N248" s="3">
        <f t="shared" si="89"/>
        <v>1.2822506659963534E-2</v>
      </c>
      <c r="O248" s="3">
        <f t="shared" si="90"/>
        <v>1.423518297091249E-2</v>
      </c>
      <c r="P248" s="3">
        <f t="shared" si="91"/>
        <v>1.5048165103762282E-2</v>
      </c>
      <c r="Q248" s="3">
        <f t="shared" si="92"/>
        <v>1.977686034634684E-2</v>
      </c>
      <c r="R248" s="3">
        <f t="shared" si="93"/>
        <v>-2.8701035080844661E-2</v>
      </c>
      <c r="S248" s="3">
        <f t="shared" si="94"/>
        <v>1.9552317572906496E-2</v>
      </c>
      <c r="T248" s="3">
        <f t="shared" si="95"/>
        <v>3.9339307994404368E-2</v>
      </c>
      <c r="U248" s="3">
        <f t="shared" si="96"/>
        <v>0</v>
      </c>
      <c r="V248" s="3">
        <f t="shared" si="97"/>
        <v>4.6964758887650905E-3</v>
      </c>
      <c r="W248" s="3">
        <f t="shared" si="98"/>
        <v>-4.4847146384216574E-3</v>
      </c>
      <c r="X248" s="3">
        <f t="shared" si="99"/>
        <v>7.196680911038463E-3</v>
      </c>
      <c r="AK248" s="3"/>
      <c r="AL248" s="8"/>
      <c r="AW248" s="3"/>
      <c r="AY248" s="5"/>
      <c r="AZ248" s="28">
        <v>44509</v>
      </c>
      <c r="BA248" s="3">
        <f t="shared" si="108"/>
        <v>243</v>
      </c>
      <c r="BB248" s="3">
        <f t="shared" si="100"/>
        <v>1.5924277210988804</v>
      </c>
      <c r="BC248" s="3">
        <f t="shared" si="101"/>
        <v>1.518610593545235</v>
      </c>
      <c r="BD248" s="3">
        <f t="shared" si="102"/>
        <v>3.0311119389184973</v>
      </c>
      <c r="BE248" s="3">
        <f t="shared" si="103"/>
        <v>2.2272100815935008</v>
      </c>
      <c r="BG248" s="3">
        <f t="shared" si="104"/>
        <v>-1.138249224218865E-2</v>
      </c>
      <c r="BH248" s="3">
        <f t="shared" si="105"/>
        <v>-1.3402805973451887E-2</v>
      </c>
      <c r="BI248" s="3">
        <f t="shared" si="106"/>
        <v>-4.3305726792855076E-3</v>
      </c>
      <c r="BJ248" s="3">
        <f t="shared" si="107"/>
        <v>5.6553386120111989E-3</v>
      </c>
    </row>
    <row r="249" spans="1:62" ht="13.5" x14ac:dyDescent="0.2">
      <c r="A249" s="28">
        <v>44512</v>
      </c>
      <c r="B249" s="29">
        <v>336.10510299999999</v>
      </c>
      <c r="C249" s="29">
        <v>149.990005</v>
      </c>
      <c r="D249" s="29">
        <v>3525.1499020000001</v>
      </c>
      <c r="E249" s="29">
        <v>2973.5600589999999</v>
      </c>
      <c r="F249" s="29">
        <v>1033.420044</v>
      </c>
      <c r="G249" s="29">
        <v>2992.9099120000001</v>
      </c>
      <c r="H249" s="29">
        <v>340.89001500000001</v>
      </c>
      <c r="I249" s="29">
        <v>303.86279300000001</v>
      </c>
      <c r="J249" s="29">
        <v>285.98998999999998</v>
      </c>
      <c r="K249" s="29">
        <v>166.86000100000001</v>
      </c>
      <c r="L249" s="27">
        <v>4682.8500000000004</v>
      </c>
      <c r="N249" s="3">
        <f t="shared" si="89"/>
        <v>-1.93222600324182E-3</v>
      </c>
      <c r="O249" s="3">
        <f t="shared" si="90"/>
        <v>6.6635553432446424E-5</v>
      </c>
      <c r="P249" s="3">
        <f t="shared" si="91"/>
        <v>5.8069811247317025E-3</v>
      </c>
      <c r="Q249" s="3">
        <f t="shared" si="92"/>
        <v>-1.521226667492192E-3</v>
      </c>
      <c r="R249" s="3">
        <f t="shared" si="93"/>
        <v>-1.9572571809900945E-2</v>
      </c>
      <c r="S249" s="3">
        <f t="shared" si="94"/>
        <v>-1.7221827454155718E-3</v>
      </c>
      <c r="T249" s="3">
        <f t="shared" si="95"/>
        <v>1.9377417616112485E-2</v>
      </c>
      <c r="U249" s="3">
        <f t="shared" si="96"/>
        <v>-1.2083285182407566E-2</v>
      </c>
      <c r="V249" s="3">
        <f t="shared" si="97"/>
        <v>-4.6261498866499544E-3</v>
      </c>
      <c r="W249" s="3">
        <f t="shared" si="98"/>
        <v>-1.79955060800283E-3</v>
      </c>
      <c r="X249" s="3">
        <f t="shared" si="99"/>
        <v>-1.0677315509449458E-5</v>
      </c>
      <c r="AK249" s="3"/>
      <c r="AL249" s="8"/>
      <c r="AW249" s="3"/>
      <c r="AY249" s="5"/>
      <c r="AZ249" s="28">
        <v>44510</v>
      </c>
      <c r="BA249" s="3">
        <f t="shared" si="108"/>
        <v>244</v>
      </c>
      <c r="BB249" s="3">
        <f t="shared" si="100"/>
        <v>1.5744046929959108</v>
      </c>
      <c r="BC249" s="3">
        <f t="shared" si="101"/>
        <v>1.4983927410401545</v>
      </c>
      <c r="BD249" s="3">
        <f t="shared" si="102"/>
        <v>3.0180138699078047</v>
      </c>
      <c r="BE249" s="3">
        <f t="shared" si="103"/>
        <v>2.2398413922690588</v>
      </c>
      <c r="BG249" s="3">
        <f t="shared" si="104"/>
        <v>4.0376206601210884E-3</v>
      </c>
      <c r="BH249" s="3">
        <f t="shared" si="105"/>
        <v>2.6971638723425951E-3</v>
      </c>
      <c r="BI249" s="3">
        <f t="shared" si="106"/>
        <v>5.6694962313949219E-3</v>
      </c>
      <c r="BJ249" s="3">
        <f t="shared" si="107"/>
        <v>6.4215715097012986E-3</v>
      </c>
    </row>
    <row r="250" spans="1:62" ht="13.5" x14ac:dyDescent="0.2">
      <c r="A250" s="28">
        <v>44515</v>
      </c>
      <c r="B250" s="29">
        <v>335.456299</v>
      </c>
      <c r="C250" s="29">
        <v>150</v>
      </c>
      <c r="D250" s="29">
        <v>3545.679932</v>
      </c>
      <c r="E250" s="29">
        <v>2969.040039</v>
      </c>
      <c r="F250" s="29">
        <v>1013.3900149999999</v>
      </c>
      <c r="G250" s="29">
        <v>2987.76001</v>
      </c>
      <c r="H250" s="29">
        <v>347.55999800000001</v>
      </c>
      <c r="I250" s="29">
        <v>300.21322600000002</v>
      </c>
      <c r="J250" s="29">
        <v>284.67001299999998</v>
      </c>
      <c r="K250" s="29">
        <v>166.55999800000001</v>
      </c>
      <c r="L250" s="27">
        <v>4682.8</v>
      </c>
      <c r="N250" s="3">
        <f t="shared" si="89"/>
        <v>1.0183923616723333E-2</v>
      </c>
      <c r="O250" s="3">
        <f t="shared" si="90"/>
        <v>6.6445427186685108E-3</v>
      </c>
      <c r="P250" s="3">
        <f t="shared" si="91"/>
        <v>-1.4055080032489994E-3</v>
      </c>
      <c r="Q250" s="3">
        <f t="shared" si="92"/>
        <v>-3.8875952978448397E-3</v>
      </c>
      <c r="R250" s="3">
        <f t="shared" si="93"/>
        <v>3.9983630000103493E-2</v>
      </c>
      <c r="S250" s="3">
        <f t="shared" si="94"/>
        <v>-2.090701807110254E-3</v>
      </c>
      <c r="T250" s="3">
        <f t="shared" si="95"/>
        <v>-1.3323510169009223E-2</v>
      </c>
      <c r="U250" s="3">
        <f t="shared" si="96"/>
        <v>5.9108991989705907E-3</v>
      </c>
      <c r="V250" s="3">
        <f t="shared" si="97"/>
        <v>-4.6125392223606235E-3</v>
      </c>
      <c r="W250" s="3">
        <f t="shared" si="98"/>
        <v>-7.2306714380492463E-3</v>
      </c>
      <c r="X250" s="3">
        <f t="shared" si="99"/>
        <v>3.8577581225869607E-3</v>
      </c>
      <c r="AK250" s="3"/>
      <c r="AL250" s="8"/>
      <c r="AW250" s="3"/>
      <c r="AY250" s="5"/>
      <c r="AZ250" s="28">
        <v>44511</v>
      </c>
      <c r="BA250" s="3">
        <f t="shared" si="108"/>
        <v>245</v>
      </c>
      <c r="BB250" s="3">
        <f t="shared" si="100"/>
        <v>1.5807743924734108</v>
      </c>
      <c r="BC250" s="3">
        <f t="shared" si="101"/>
        <v>1.5024396068847359</v>
      </c>
      <c r="BD250" s="3">
        <f t="shared" si="102"/>
        <v>3.03517308425746</v>
      </c>
      <c r="BE250" s="3">
        <f t="shared" si="103"/>
        <v>2.2542709746519476</v>
      </c>
      <c r="BG250" s="3">
        <f t="shared" si="104"/>
        <v>6.8705037228169695E-3</v>
      </c>
      <c r="BH250" s="3">
        <f t="shared" si="105"/>
        <v>9.7191550966746493E-3</v>
      </c>
      <c r="BI250" s="3">
        <f t="shared" si="106"/>
        <v>-1.5837641648918839E-3</v>
      </c>
      <c r="BJ250" s="3">
        <f t="shared" si="107"/>
        <v>-1.1720207764422551E-2</v>
      </c>
    </row>
    <row r="251" spans="1:62" ht="13.5" x14ac:dyDescent="0.2">
      <c r="A251" s="28">
        <v>44516</v>
      </c>
      <c r="B251" s="29">
        <v>338.89001500000001</v>
      </c>
      <c r="C251" s="29">
        <v>151</v>
      </c>
      <c r="D251" s="29">
        <v>3540.6999510000001</v>
      </c>
      <c r="E251" s="29">
        <v>2957.5200199999999</v>
      </c>
      <c r="F251" s="29">
        <v>1054.7299800000001</v>
      </c>
      <c r="G251" s="29">
        <v>2981.5200199999999</v>
      </c>
      <c r="H251" s="29">
        <v>342.959991</v>
      </c>
      <c r="I251" s="29">
        <v>301.99301100000002</v>
      </c>
      <c r="J251" s="29">
        <v>283.35998499999999</v>
      </c>
      <c r="K251" s="29">
        <v>165.36000100000001</v>
      </c>
      <c r="L251" s="27">
        <v>4700.8999999999996</v>
      </c>
      <c r="N251" s="3">
        <f t="shared" si="89"/>
        <v>6.7839708980165457E-4</v>
      </c>
      <c r="O251" s="3">
        <f t="shared" si="90"/>
        <v>1.6355614085803927E-2</v>
      </c>
      <c r="P251" s="3">
        <f t="shared" si="91"/>
        <v>2.341439792752773E-3</v>
      </c>
      <c r="Q251" s="3">
        <f t="shared" si="92"/>
        <v>1.1556794852619712E-3</v>
      </c>
      <c r="R251" s="3">
        <f t="shared" si="93"/>
        <v>3.1984244786734194E-2</v>
      </c>
      <c r="S251" s="3">
        <f t="shared" si="94"/>
        <v>-9.3926302496260376E-5</v>
      </c>
      <c r="T251" s="3">
        <f t="shared" si="95"/>
        <v>-6.4060654159913506E-3</v>
      </c>
      <c r="U251" s="3">
        <f t="shared" si="96"/>
        <v>-3.1685708560842761E-2</v>
      </c>
      <c r="V251" s="3">
        <f t="shared" si="97"/>
        <v>-6.2660230136702697E-3</v>
      </c>
      <c r="W251" s="3">
        <f t="shared" si="98"/>
        <v>-5.3967325876107764E-3</v>
      </c>
      <c r="X251" s="3">
        <f t="shared" si="99"/>
        <v>-2.6050195943357248E-3</v>
      </c>
      <c r="AK251" s="3"/>
      <c r="AL251" s="8"/>
      <c r="AW251" s="3"/>
      <c r="AY251" s="5"/>
      <c r="AZ251" s="28">
        <v>44512</v>
      </c>
      <c r="BA251" s="3">
        <f t="shared" si="108"/>
        <v>246</v>
      </c>
      <c r="BB251" s="3">
        <f t="shared" si="100"/>
        <v>1.5916725037094015</v>
      </c>
      <c r="BC251" s="3">
        <f t="shared" si="101"/>
        <v>1.5171132426099549</v>
      </c>
      <c r="BD251" s="3">
        <f t="shared" si="102"/>
        <v>3.0303698904594669</v>
      </c>
      <c r="BE251" s="3">
        <f t="shared" si="103"/>
        <v>2.2280046743879209</v>
      </c>
      <c r="BG251" s="3">
        <f t="shared" si="104"/>
        <v>-3.4334217104209702E-3</v>
      </c>
      <c r="BH251" s="3">
        <f t="shared" si="105"/>
        <v>-1.9387062792787617E-3</v>
      </c>
      <c r="BI251" s="3">
        <f t="shared" si="106"/>
        <v>-8.5565723092826205E-3</v>
      </c>
      <c r="BJ251" s="3">
        <f t="shared" si="107"/>
        <v>-1.4135245607728645E-2</v>
      </c>
    </row>
    <row r="252" spans="1:62" ht="13.5" x14ac:dyDescent="0.2">
      <c r="A252" s="28">
        <v>44517</v>
      </c>
      <c r="B252" s="29">
        <v>339.11999500000002</v>
      </c>
      <c r="C252" s="29">
        <v>153.490005</v>
      </c>
      <c r="D252" s="29">
        <v>3549</v>
      </c>
      <c r="E252" s="29">
        <v>2960.9399410000001</v>
      </c>
      <c r="F252" s="29">
        <v>1089.01001</v>
      </c>
      <c r="G252" s="29">
        <v>2981.23999</v>
      </c>
      <c r="H252" s="29">
        <v>340.76998900000001</v>
      </c>
      <c r="I252" s="29">
        <v>292.57415800000001</v>
      </c>
      <c r="J252" s="29">
        <v>281.58999599999999</v>
      </c>
      <c r="K252" s="29">
        <v>164.470001</v>
      </c>
      <c r="L252" s="27">
        <v>4688.67</v>
      </c>
      <c r="N252" s="3">
        <f t="shared" si="89"/>
        <v>6.3199083075105005E-3</v>
      </c>
      <c r="O252" s="3">
        <f t="shared" si="90"/>
        <v>2.8136426971278241E-2</v>
      </c>
      <c r="P252" s="3">
        <f t="shared" si="91"/>
        <v>4.0601529712490175E-2</v>
      </c>
      <c r="Q252" s="3">
        <f t="shared" si="92"/>
        <v>1.2028283089850633E-2</v>
      </c>
      <c r="R252" s="3">
        <f t="shared" si="93"/>
        <v>6.74481249511363E-3</v>
      </c>
      <c r="S252" s="3">
        <f t="shared" si="94"/>
        <v>1.0988479164736133E-2</v>
      </c>
      <c r="T252" s="3">
        <f t="shared" si="95"/>
        <v>-6.1224899917180645E-3</v>
      </c>
      <c r="U252" s="3">
        <f t="shared" si="96"/>
        <v>7.92721893450066E-2</v>
      </c>
      <c r="V252" s="3">
        <f t="shared" si="97"/>
        <v>-3.4150045578743532E-3</v>
      </c>
      <c r="W252" s="3">
        <f t="shared" si="98"/>
        <v>-8.6712681987218074E-3</v>
      </c>
      <c r="X252" s="3">
        <f t="shared" si="99"/>
        <v>3.379039774514253E-3</v>
      </c>
      <c r="AK252" s="3"/>
      <c r="AL252" s="8"/>
      <c r="AW252" s="3"/>
      <c r="AY252" s="5"/>
      <c r="AZ252" s="28">
        <v>44515</v>
      </c>
      <c r="BA252" s="3">
        <f t="shared" si="108"/>
        <v>247</v>
      </c>
      <c r="BB252" s="3">
        <f t="shared" si="100"/>
        <v>1.5862169916753204</v>
      </c>
      <c r="BC252" s="3">
        <f t="shared" si="101"/>
        <v>1.5141748548958338</v>
      </c>
      <c r="BD252" s="3">
        <f t="shared" si="102"/>
        <v>3.0045509297973956</v>
      </c>
      <c r="BE252" s="3">
        <f t="shared" si="103"/>
        <v>2.1967328194633833</v>
      </c>
      <c r="BG252" s="3">
        <f t="shared" si="104"/>
        <v>4.88616504454967E-3</v>
      </c>
      <c r="BH252" s="3">
        <f t="shared" si="105"/>
        <v>1.7509649928995922E-3</v>
      </c>
      <c r="BI252" s="3">
        <f t="shared" si="106"/>
        <v>1.5243047577546898E-2</v>
      </c>
      <c r="BJ252" s="3">
        <f t="shared" si="107"/>
        <v>2.6838375862417038E-2</v>
      </c>
    </row>
    <row r="253" spans="1:62" ht="13.5" x14ac:dyDescent="0.2">
      <c r="A253" s="28">
        <v>44518</v>
      </c>
      <c r="B253" s="29">
        <v>341.26998900000001</v>
      </c>
      <c r="C253" s="29">
        <v>157.86999499999999</v>
      </c>
      <c r="D253" s="29">
        <v>3696.0600589999999</v>
      </c>
      <c r="E253" s="29">
        <v>2996.7700199999999</v>
      </c>
      <c r="F253" s="29">
        <v>1096.380005</v>
      </c>
      <c r="G253" s="29">
        <v>3014.179932</v>
      </c>
      <c r="H253" s="29">
        <v>338.69000199999999</v>
      </c>
      <c r="I253" s="29">
        <v>316.71121199999999</v>
      </c>
      <c r="J253" s="29">
        <v>280.63000499999998</v>
      </c>
      <c r="K253" s="29">
        <v>163.050003</v>
      </c>
      <c r="L253" s="27">
        <v>4704.54</v>
      </c>
      <c r="N253" s="3">
        <f t="shared" si="89"/>
        <v>5.377131135627212E-3</v>
      </c>
      <c r="O253" s="3">
        <f t="shared" si="90"/>
        <v>1.6833561349284102E-2</v>
      </c>
      <c r="P253" s="3">
        <f t="shared" si="91"/>
        <v>-5.287132560784235E-3</v>
      </c>
      <c r="Q253" s="3">
        <f t="shared" si="92"/>
        <v>-6.1051486971627949E-3</v>
      </c>
      <c r="R253" s="3">
        <f t="shared" si="93"/>
        <v>3.6432187389954629E-2</v>
      </c>
      <c r="S253" s="3">
        <f t="shared" si="94"/>
        <v>-5.0322089711481504E-3</v>
      </c>
      <c r="T253" s="3">
        <f t="shared" si="95"/>
        <v>1.9328329003672335E-2</v>
      </c>
      <c r="U253" s="3">
        <f t="shared" si="96"/>
        <v>4.0525256738972448E-2</v>
      </c>
      <c r="V253" s="3">
        <f t="shared" si="97"/>
        <v>-2.2832409965801298E-3</v>
      </c>
      <c r="W253" s="3">
        <f t="shared" si="98"/>
        <v>-1.3149585981540611E-2</v>
      </c>
      <c r="X253" s="3">
        <f t="shared" si="99"/>
        <v>-1.3996279870592404E-3</v>
      </c>
      <c r="AY253" s="5"/>
      <c r="AZ253" s="28">
        <v>44516</v>
      </c>
      <c r="BA253" s="3">
        <f t="shared" si="108"/>
        <v>248</v>
      </c>
      <c r="BB253" s="3">
        <f t="shared" si="100"/>
        <v>1.5939864757260298</v>
      </c>
      <c r="BC253" s="3">
        <f t="shared" si="101"/>
        <v>1.5168284445532179</v>
      </c>
      <c r="BD253" s="3">
        <f t="shared" si="102"/>
        <v>3.0507002773545007</v>
      </c>
      <c r="BE253" s="3">
        <f t="shared" si="103"/>
        <v>2.2564878376158362</v>
      </c>
      <c r="BG253" s="3">
        <f t="shared" si="104"/>
        <v>6.4230018891441119E-5</v>
      </c>
      <c r="BH253" s="3">
        <f t="shared" si="105"/>
        <v>-9.2163764441921276E-4</v>
      </c>
      <c r="BI253" s="3">
        <f t="shared" si="106"/>
        <v>6.0860517306207135E-3</v>
      </c>
      <c r="BJ253" s="3">
        <f t="shared" si="107"/>
        <v>1.3659612928196466E-2</v>
      </c>
    </row>
    <row r="254" spans="1:62" ht="13.5" x14ac:dyDescent="0.2">
      <c r="A254" s="28">
        <v>44519</v>
      </c>
      <c r="B254" s="29">
        <v>343.10998499999999</v>
      </c>
      <c r="C254" s="29">
        <v>160.550003</v>
      </c>
      <c r="D254" s="29">
        <v>3676.570068</v>
      </c>
      <c r="E254" s="29">
        <v>2978.530029</v>
      </c>
      <c r="F254" s="29">
        <v>1137.0600589999999</v>
      </c>
      <c r="G254" s="29">
        <v>2999.0500489999999</v>
      </c>
      <c r="H254" s="29">
        <v>345.29998799999998</v>
      </c>
      <c r="I254" s="29">
        <v>329.80963100000002</v>
      </c>
      <c r="J254" s="29">
        <v>279.98998999999998</v>
      </c>
      <c r="K254" s="29">
        <v>160.91999799999999</v>
      </c>
      <c r="L254" s="27">
        <v>4697.96</v>
      </c>
      <c r="AY254" s="5"/>
      <c r="AZ254" s="28">
        <v>44517</v>
      </c>
      <c r="BA254" s="3">
        <f t="shared" si="108"/>
        <v>249</v>
      </c>
      <c r="BB254" s="3">
        <f t="shared" si="100"/>
        <v>1.5940888607955406</v>
      </c>
      <c r="BC254" s="3">
        <f t="shared" si="101"/>
        <v>1.5154311223698635</v>
      </c>
      <c r="BD254" s="3">
        <f t="shared" si="102"/>
        <v>3.069323610858623</v>
      </c>
      <c r="BE254" s="3">
        <f t="shared" si="103"/>
        <v>2.2875220632678368</v>
      </c>
      <c r="BG254" s="3">
        <f t="shared" si="104"/>
        <v>1.9253954225705902E-2</v>
      </c>
      <c r="BH254" s="3">
        <f t="shared" si="105"/>
        <v>1.5099770641100019E-2</v>
      </c>
      <c r="BI254" s="3">
        <f t="shared" si="106"/>
        <v>2.7727592373067208E-2</v>
      </c>
      <c r="BJ254" s="3">
        <f t="shared" si="107"/>
        <v>3.4489785692767824E-2</v>
      </c>
    </row>
    <row r="255" spans="1:62" ht="13.5" x14ac:dyDescent="0.2">
      <c r="L255" s="26"/>
      <c r="AY255" s="5"/>
      <c r="AZ255" s="28">
        <v>44518</v>
      </c>
      <c r="BA255" s="3">
        <f t="shared" si="108"/>
        <v>250</v>
      </c>
      <c r="BB255" s="3">
        <f t="shared" si="100"/>
        <v>1.6250787564070772</v>
      </c>
      <c r="BC255" s="3">
        <f t="shared" si="101"/>
        <v>1.5384874190620985</v>
      </c>
      <c r="BD255" s="3">
        <f t="shared" si="102"/>
        <v>3.1556194236076598</v>
      </c>
      <c r="BE255" s="3">
        <f t="shared" si="103"/>
        <v>2.367794542139217</v>
      </c>
      <c r="BG255" s="3">
        <f t="shared" si="104"/>
        <v>1.1760063855743266E-2</v>
      </c>
      <c r="BH255" s="3">
        <f t="shared" si="105"/>
        <v>6.47239810269736E-3</v>
      </c>
      <c r="BI255" s="3">
        <f t="shared" si="106"/>
        <v>2.2060686108368675E-2</v>
      </c>
      <c r="BJ255" s="3">
        <f t="shared" si="107"/>
        <v>3.2430582696534517E-2</v>
      </c>
    </row>
    <row r="256" spans="1:62" ht="13.5" x14ac:dyDescent="0.2">
      <c r="AY256" s="5"/>
      <c r="AZ256" s="28">
        <v>44519</v>
      </c>
      <c r="BA256" s="3">
        <f t="shared" si="108"/>
        <v>251</v>
      </c>
      <c r="BB256" s="3">
        <f t="shared" si="100"/>
        <v>1.6443026016238207</v>
      </c>
      <c r="BC256" s="3">
        <f t="shared" si="101"/>
        <v>1.5484774168606528</v>
      </c>
      <c r="BD256" s="3">
        <f t="shared" si="102"/>
        <v>3.2260081098746136</v>
      </c>
      <c r="BE256" s="3">
        <f t="shared" si="103"/>
        <v>2.4458422243661055</v>
      </c>
    </row>
  </sheetData>
  <sortState columnSort="1" ref="AA56:AJ66">
    <sortCondition descending="1" ref="AA56:AJ56"/>
  </sortState>
  <mergeCells count="7">
    <mergeCell ref="AW1:AZ4"/>
    <mergeCell ref="BK3:BL12"/>
    <mergeCell ref="Z74:AD81"/>
    <mergeCell ref="AE74:AH81"/>
    <mergeCell ref="AX22:AY24"/>
    <mergeCell ref="AX42:AY44"/>
    <mergeCell ref="BM18:BR24"/>
  </mergeCells>
  <phoneticPr fontId="2" type="noConversion"/>
  <pageMargins left="0.7" right="0.7" top="0.75" bottom="0.75" header="0.3" footer="0.3"/>
  <pageSetup paperSize="9" orientation="portrait" r:id="rId1"/>
  <ignoredErrors>
    <ignoredError sqref="AM3:AV3" numberStoredAsText="1"/>
  </ignoredError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9</vt:i4>
      </vt:variant>
    </vt:vector>
  </HeadingPairs>
  <TitlesOfParts>
    <vt:vector size="11" baseType="lpstr">
      <vt:lpstr>Eigencalcs</vt:lpstr>
      <vt:lpstr>PCA</vt:lpstr>
      <vt:lpstr>AREA</vt:lpstr>
      <vt:lpstr>Correlation</vt:lpstr>
      <vt:lpstr>DRP</vt:lpstr>
      <vt:lpstr>EWP</vt:lpstr>
      <vt:lpstr>EWS</vt:lpstr>
      <vt:lpstr>ini</vt:lpstr>
      <vt:lpstr>RE</vt:lpstr>
      <vt:lpstr>start</vt:lpstr>
      <vt:lpstr>total</vt:lpstr>
    </vt:vector>
  </TitlesOfParts>
  <Company>University of Toronto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White</dc:creator>
  <cp:lastModifiedBy>Windows 用户</cp:lastModifiedBy>
  <cp:lastPrinted>2011-10-04T19:23:43Z</cp:lastPrinted>
  <dcterms:created xsi:type="dcterms:W3CDTF">1999-10-06T23:05:41Z</dcterms:created>
  <dcterms:modified xsi:type="dcterms:W3CDTF">2021-12-06T08:16:43Z</dcterms:modified>
</cp:coreProperties>
</file>