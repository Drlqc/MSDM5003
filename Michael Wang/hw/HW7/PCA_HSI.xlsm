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My Documents\tea\msdm5003\notes21\Week12\"/>
    </mc:Choice>
  </mc:AlternateContent>
  <xr:revisionPtr revIDLastSave="0" documentId="13_ncr:1_{28AA6920-65A5-4C79-96F5-FC77E085E89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Eigencalcs" sheetId="6" r:id="rId1"/>
    <sheet name="PCA" sheetId="8" r:id="rId2"/>
  </sheets>
  <functionGroups builtInGroupCount="19"/>
  <definedNames>
    <definedName name="anscount" hidden="1">2</definedName>
    <definedName name="Lambda">#REF!</definedName>
    <definedName name="limcount" hidden="1">1</definedName>
    <definedName name="M">#REF!</definedName>
    <definedName name="sencount" hidden="1">2</definedName>
    <definedName name="tranmat">#REF!</definedName>
    <definedName name="TransMat">#REF!</definedName>
    <definedName name="Vec">#REF!</definedName>
    <definedName name="VecTran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8" l="1" a="1"/>
  <c r="AA29" i="8" a="1"/>
  <c r="AD29" i="8" l="1"/>
  <c r="AJ30" i="8"/>
  <c r="AF32" i="8"/>
  <c r="AB34" i="8"/>
  <c r="AH35" i="8"/>
  <c r="AD37" i="8"/>
  <c r="AJ38" i="8"/>
  <c r="AC30" i="8"/>
  <c r="AI31" i="8"/>
  <c r="AE33" i="8"/>
  <c r="AA35" i="8"/>
  <c r="AG36" i="8"/>
  <c r="AC38" i="8"/>
  <c r="AF29" i="8"/>
  <c r="AB31" i="8"/>
  <c r="AH32" i="8"/>
  <c r="AD34" i="8"/>
  <c r="AJ35" i="8"/>
  <c r="AF37" i="8"/>
  <c r="AC29" i="8"/>
  <c r="AC31" i="8"/>
  <c r="AI32" i="8"/>
  <c r="AE34" i="8"/>
  <c r="AA36" i="8"/>
  <c r="AG37" i="8"/>
  <c r="AB32" i="8"/>
  <c r="AJ36" i="8"/>
  <c r="AE31" i="8"/>
  <c r="AC36" i="8"/>
  <c r="AH30" i="8"/>
  <c r="AH38" i="8"/>
  <c r="AA34" i="8"/>
  <c r="AH29" i="8"/>
  <c r="AD31" i="8"/>
  <c r="AJ32" i="8"/>
  <c r="AF34" i="8"/>
  <c r="AB36" i="8"/>
  <c r="AH37" i="8"/>
  <c r="AA29" i="8"/>
  <c r="AG30" i="8"/>
  <c r="AC32" i="8"/>
  <c r="AI33" i="8"/>
  <c r="AE35" i="8"/>
  <c r="AA37" i="8"/>
  <c r="AG38" i="8"/>
  <c r="AJ29" i="8"/>
  <c r="AF31" i="8"/>
  <c r="AB33" i="8"/>
  <c r="AH34" i="8"/>
  <c r="AD36" i="8"/>
  <c r="AJ37" i="8"/>
  <c r="AA30" i="8"/>
  <c r="AG31" i="8"/>
  <c r="AC33" i="8"/>
  <c r="AI34" i="8"/>
  <c r="AE36" i="8"/>
  <c r="AA38" i="8"/>
  <c r="AF30" i="8"/>
  <c r="AD35" i="8"/>
  <c r="AI29" i="8"/>
  <c r="AG34" i="8"/>
  <c r="AB29" i="8"/>
  <c r="AJ33" i="8"/>
  <c r="AB37" i="8"/>
  <c r="AE32" i="8"/>
  <c r="AC37" i="8"/>
  <c r="AB30" i="8"/>
  <c r="AH31" i="8"/>
  <c r="AD33" i="8"/>
  <c r="AJ34" i="8"/>
  <c r="AF36" i="8"/>
  <c r="AB38" i="8"/>
  <c r="AE29" i="8"/>
  <c r="AA31" i="8"/>
  <c r="AG32" i="8"/>
  <c r="AC34" i="8"/>
  <c r="AI35" i="8"/>
  <c r="AE37" i="8"/>
  <c r="AG29" i="8"/>
  <c r="AD30" i="8"/>
  <c r="AJ31" i="8"/>
  <c r="AF33" i="8"/>
  <c r="AB35" i="8"/>
  <c r="AH36" i="8"/>
  <c r="AD38" i="8"/>
  <c r="AE30" i="8"/>
  <c r="AA32" i="8"/>
  <c r="AG33" i="8"/>
  <c r="AC35" i="8"/>
  <c r="AI36" i="8"/>
  <c r="AE38" i="8"/>
  <c r="AH33" i="8"/>
  <c r="AF38" i="8"/>
  <c r="AA33" i="8"/>
  <c r="AI37" i="8"/>
  <c r="AD32" i="8"/>
  <c r="AF35" i="8"/>
  <c r="AI30" i="8"/>
  <c r="AG35" i="8"/>
  <c r="AI38" i="8"/>
  <c r="AH16" i="8"/>
  <c r="AD18" i="8"/>
  <c r="AJ19" i="8"/>
  <c r="AF21" i="8"/>
  <c r="AB23" i="8"/>
  <c r="AH24" i="8"/>
  <c r="AA16" i="8"/>
  <c r="AG17" i="8"/>
  <c r="AC19" i="8"/>
  <c r="AI20" i="8"/>
  <c r="AE22" i="8"/>
  <c r="AA24" i="8"/>
  <c r="AG25" i="8"/>
  <c r="AD17" i="8"/>
  <c r="AJ18" i="8"/>
  <c r="AF20" i="8"/>
  <c r="AB22" i="8"/>
  <c r="AH23" i="8"/>
  <c r="AD25" i="8"/>
  <c r="AA17" i="8"/>
  <c r="AG18" i="8"/>
  <c r="AC20" i="8"/>
  <c r="AI21" i="8"/>
  <c r="AE23" i="8"/>
  <c r="AA25" i="8"/>
  <c r="AJ17" i="8"/>
  <c r="AH22" i="8"/>
  <c r="AC17" i="8"/>
  <c r="AA22" i="8"/>
  <c r="AJ16" i="8"/>
  <c r="AH21" i="8"/>
  <c r="AG16" i="8"/>
  <c r="AE21" i="8"/>
  <c r="AD16" i="8"/>
  <c r="AB17" i="8"/>
  <c r="AH18" i="8"/>
  <c r="AD20" i="8"/>
  <c r="AJ21" i="8"/>
  <c r="AF23" i="8"/>
  <c r="AB25" i="8"/>
  <c r="AE16" i="8"/>
  <c r="AA18" i="8"/>
  <c r="AG19" i="8"/>
  <c r="AC21" i="8"/>
  <c r="AI22" i="8"/>
  <c r="AE24" i="8"/>
  <c r="AB16" i="8"/>
  <c r="AH17" i="8"/>
  <c r="AD19" i="8"/>
  <c r="AJ20" i="8"/>
  <c r="AF22" i="8"/>
  <c r="AB24" i="8"/>
  <c r="AH25" i="8"/>
  <c r="AE17" i="8"/>
  <c r="AA19" i="8"/>
  <c r="AG20" i="8"/>
  <c r="AC22" i="8"/>
  <c r="AI23" i="8"/>
  <c r="AE25" i="8"/>
  <c r="AF19" i="8"/>
  <c r="AD24" i="8"/>
  <c r="AI18" i="8"/>
  <c r="AG23" i="8"/>
  <c r="AF18" i="8"/>
  <c r="AJ24" i="8"/>
  <c r="AI19" i="8"/>
  <c r="AG24" i="8"/>
  <c r="AF17" i="8"/>
  <c r="AB19" i="8"/>
  <c r="AH20" i="8"/>
  <c r="AD22" i="8"/>
  <c r="AJ23" i="8"/>
  <c r="AF25" i="8"/>
  <c r="AI16" i="8"/>
  <c r="AE18" i="8"/>
  <c r="AA20" i="8"/>
  <c r="AG21" i="8"/>
  <c r="AC23" i="8"/>
  <c r="AI24" i="8"/>
  <c r="AF16" i="8"/>
  <c r="AB18" i="8"/>
  <c r="AH19" i="8"/>
  <c r="AD21" i="8"/>
  <c r="AJ22" i="8"/>
  <c r="AF24" i="8"/>
  <c r="AC16" i="8"/>
  <c r="AI17" i="8"/>
  <c r="AE19" i="8"/>
  <c r="AA21" i="8"/>
  <c r="AG22" i="8"/>
  <c r="AC24" i="8"/>
  <c r="AI25" i="8"/>
  <c r="AB21" i="8"/>
  <c r="AJ25" i="8"/>
  <c r="AE20" i="8"/>
  <c r="AC25" i="8"/>
  <c r="AB20" i="8"/>
  <c r="AD23" i="8"/>
  <c r="AC18" i="8"/>
  <c r="AA23" i="8"/>
  <c r="C25" i="6" a="1"/>
  <c r="C13" i="6" a="1"/>
  <c r="F18" i="6" l="1"/>
  <c r="C15" i="6"/>
  <c r="I21" i="6"/>
  <c r="D15" i="6"/>
  <c r="K19" i="6"/>
  <c r="H16" i="6"/>
  <c r="E15" i="6"/>
  <c r="G15" i="6"/>
  <c r="G13" i="6"/>
  <c r="H17" i="6"/>
  <c r="K21" i="6"/>
  <c r="H15" i="6"/>
  <c r="G19" i="6"/>
  <c r="G14" i="6"/>
  <c r="K14" i="6"/>
  <c r="E13" i="6"/>
  <c r="D18" i="6"/>
  <c r="D13" i="6"/>
  <c r="J13" i="6"/>
  <c r="K17" i="6"/>
  <c r="C21" i="6"/>
  <c r="E19" i="6"/>
  <c r="D16" i="6"/>
  <c r="C18" i="6"/>
  <c r="I20" i="6"/>
  <c r="D19" i="6"/>
  <c r="H20" i="6"/>
  <c r="J21" i="6"/>
  <c r="E14" i="6"/>
  <c r="H19" i="6"/>
  <c r="I15" i="6"/>
  <c r="C14" i="6"/>
  <c r="K16" i="6"/>
  <c r="D17" i="6"/>
  <c r="J19" i="6"/>
  <c r="C16" i="6"/>
  <c r="C20" i="6"/>
  <c r="E20" i="6"/>
  <c r="G18" i="6"/>
  <c r="F16" i="6"/>
  <c r="C17" i="6"/>
  <c r="C19" i="6"/>
  <c r="J16" i="6"/>
  <c r="E16" i="6"/>
  <c r="H14" i="6"/>
  <c r="I17" i="6"/>
  <c r="H21" i="6"/>
  <c r="I14" i="6"/>
  <c r="G16" i="6"/>
  <c r="G21" i="6"/>
  <c r="K15" i="6"/>
  <c r="E17" i="6"/>
  <c r="K20" i="6"/>
  <c r="E18" i="6"/>
  <c r="I16" i="6"/>
  <c r="F19" i="6"/>
  <c r="E21" i="6"/>
  <c r="I19" i="6"/>
  <c r="D20" i="6"/>
  <c r="J20" i="6"/>
  <c r="F13" i="6"/>
  <c r="H18" i="6"/>
  <c r="K13" i="6"/>
  <c r="J15" i="6"/>
  <c r="I18" i="6"/>
  <c r="J18" i="6"/>
  <c r="J17" i="6"/>
  <c r="D21" i="6"/>
  <c r="C13" i="6"/>
  <c r="F15" i="6"/>
  <c r="F17" i="6"/>
  <c r="D14" i="6"/>
  <c r="K18" i="6"/>
  <c r="G17" i="6"/>
  <c r="F14" i="6"/>
  <c r="F21" i="6"/>
  <c r="H13" i="6"/>
  <c r="J14" i="6"/>
  <c r="I13" i="6"/>
  <c r="G20" i="6"/>
  <c r="F20" i="6"/>
  <c r="G27" i="6"/>
  <c r="F26" i="6"/>
  <c r="J26" i="6"/>
  <c r="H26" i="6"/>
  <c r="I29" i="6"/>
  <c r="I30" i="6"/>
  <c r="C26" i="6"/>
  <c r="I31" i="6"/>
  <c r="C29" i="6"/>
  <c r="F30" i="6"/>
  <c r="G30" i="6"/>
  <c r="K25" i="6"/>
  <c r="D32" i="6"/>
  <c r="K30" i="6"/>
  <c r="G33" i="6"/>
  <c r="J27" i="6"/>
  <c r="J29" i="6"/>
  <c r="H33" i="6"/>
  <c r="F29" i="6"/>
  <c r="I27" i="6"/>
  <c r="D29" i="6"/>
  <c r="K26" i="6"/>
  <c r="G32" i="6"/>
  <c r="C31" i="6"/>
  <c r="D30" i="6"/>
  <c r="G26" i="6"/>
  <c r="C25" i="6"/>
  <c r="E30" i="6"/>
  <c r="I25" i="6"/>
  <c r="G31" i="6"/>
  <c r="C32" i="6"/>
  <c r="D31" i="6"/>
  <c r="D28" i="6"/>
  <c r="H27" i="6"/>
  <c r="C30" i="6"/>
  <c r="J25" i="6"/>
  <c r="J33" i="6"/>
  <c r="E31" i="6"/>
  <c r="E29" i="6"/>
  <c r="C33" i="6"/>
  <c r="C27" i="6"/>
  <c r="K33" i="6"/>
  <c r="F25" i="6"/>
  <c r="F28" i="6"/>
  <c r="E27" i="6"/>
  <c r="E26" i="6"/>
  <c r="G28" i="6"/>
  <c r="J30" i="6"/>
  <c r="H25" i="6"/>
  <c r="J28" i="6"/>
  <c r="K32" i="6"/>
  <c r="G29" i="6"/>
  <c r="H29" i="6"/>
  <c r="D25" i="6"/>
  <c r="H30" i="6"/>
  <c r="I28" i="6"/>
  <c r="D26" i="6"/>
  <c r="K31" i="6"/>
  <c r="H32" i="6"/>
  <c r="D27" i="6"/>
  <c r="H28" i="6"/>
  <c r="H31" i="6"/>
  <c r="C28" i="6"/>
  <c r="I33" i="6"/>
  <c r="K27" i="6"/>
  <c r="E32" i="6"/>
  <c r="F33" i="6"/>
  <c r="F27" i="6"/>
  <c r="F31" i="6"/>
  <c r="E28" i="6"/>
  <c r="G25" i="6"/>
  <c r="J32" i="6"/>
  <c r="F32" i="6"/>
  <c r="K28" i="6"/>
  <c r="J31" i="6"/>
  <c r="I32" i="6"/>
  <c r="K29" i="6"/>
  <c r="I26" i="6"/>
  <c r="E33" i="6"/>
  <c r="E25" i="6"/>
  <c r="D33" i="6"/>
</calcChain>
</file>

<file path=xl/sharedStrings.xml><?xml version="1.0" encoding="utf-8"?>
<sst xmlns="http://schemas.openxmlformats.org/spreadsheetml/2006/main" count="691" uniqueCount="301">
  <si>
    <t>Price</t>
  </si>
  <si>
    <t>Return</t>
  </si>
  <si>
    <t>EWS</t>
  </si>
  <si>
    <t>RE</t>
  </si>
  <si>
    <t>Time</t>
  </si>
  <si>
    <t>Total</t>
  </si>
  <si>
    <t>Gain</t>
  </si>
  <si>
    <t>2018/11/30</t>
  </si>
  <si>
    <t>price</t>
  </si>
  <si>
    <t>SD</t>
  </si>
  <si>
    <t>2018/12/03</t>
  </si>
  <si>
    <t>weight</t>
  </si>
  <si>
    <t>2018/12/04</t>
  </si>
  <si>
    <t>2018/12/05</t>
  </si>
  <si>
    <t>2018/12/06</t>
  </si>
  <si>
    <t>2018/12/07</t>
  </si>
  <si>
    <t>2018/12/10</t>
  </si>
  <si>
    <t>2018/12/11</t>
  </si>
  <si>
    <t>2018/12/12</t>
  </si>
  <si>
    <t>2018/12/13</t>
  </si>
  <si>
    <t>2018/12/14</t>
  </si>
  <si>
    <t>2018/12/17</t>
  </si>
  <si>
    <t>Eigenvalue</t>
  </si>
  <si>
    <t>2018/12/18</t>
  </si>
  <si>
    <t>2018/12/19</t>
  </si>
  <si>
    <t>2018/12/20</t>
  </si>
  <si>
    <t>2018/12/21</t>
  </si>
  <si>
    <t>2018/12/24</t>
  </si>
  <si>
    <t>2018/12/27</t>
  </si>
  <si>
    <t>2018/12/28</t>
  </si>
  <si>
    <t>2018/12/31</t>
  </si>
  <si>
    <t>2019/01/02</t>
  </si>
  <si>
    <t>2019/01/03</t>
  </si>
  <si>
    <t>2019/01/04</t>
  </si>
  <si>
    <t>2019/01/07</t>
  </si>
  <si>
    <t>2019/01/08</t>
  </si>
  <si>
    <t>2019/01/09</t>
  </si>
  <si>
    <t>2019/01/10</t>
  </si>
  <si>
    <t>2019/01/11</t>
  </si>
  <si>
    <t>2019/01/14</t>
  </si>
  <si>
    <t>2019/01/15</t>
  </si>
  <si>
    <t>2019/01/16</t>
  </si>
  <si>
    <t>2019/01/17</t>
  </si>
  <si>
    <t>2019/01/18</t>
  </si>
  <si>
    <t>2019/01/21</t>
  </si>
  <si>
    <t>2019/01/22</t>
  </si>
  <si>
    <t>2019/01/23</t>
  </si>
  <si>
    <t>2019/01/24</t>
  </si>
  <si>
    <t>2019/01/25</t>
  </si>
  <si>
    <t>2019/01/28</t>
  </si>
  <si>
    <t>2019/01/29</t>
  </si>
  <si>
    <t>2019/01/30</t>
  </si>
  <si>
    <t>2019/01/31</t>
  </si>
  <si>
    <t>2019/02/01</t>
  </si>
  <si>
    <t>2019/02/04</t>
  </si>
  <si>
    <t>2019/02/08</t>
  </si>
  <si>
    <t>2019/02/11</t>
  </si>
  <si>
    <t>2019/02/12</t>
  </si>
  <si>
    <t>2019/02/13</t>
  </si>
  <si>
    <t>2019/02/14</t>
  </si>
  <si>
    <t>2019/02/15</t>
  </si>
  <si>
    <t>2019/02/18</t>
  </si>
  <si>
    <t>2019/02/19</t>
  </si>
  <si>
    <t>2019/02/20</t>
  </si>
  <si>
    <t>2019/02/21</t>
  </si>
  <si>
    <t>2019/02/22</t>
  </si>
  <si>
    <t>2019/02/25</t>
  </si>
  <si>
    <t>2019/02/26</t>
  </si>
  <si>
    <t>2019/02/27</t>
  </si>
  <si>
    <t>2019/02/28</t>
  </si>
  <si>
    <t>2019/03/01</t>
  </si>
  <si>
    <t>2019/03/04</t>
  </si>
  <si>
    <t>2019/03/05</t>
  </si>
  <si>
    <t>2019/03/06</t>
  </si>
  <si>
    <t>2019/03/07</t>
  </si>
  <si>
    <t>2019/03/08</t>
  </si>
  <si>
    <t>2019/03/11</t>
  </si>
  <si>
    <t>2019/03/12</t>
  </si>
  <si>
    <t>2019/03/13</t>
  </si>
  <si>
    <t>2019/03/14</t>
  </si>
  <si>
    <t>2019/03/15</t>
  </si>
  <si>
    <t>2019/03/18</t>
  </si>
  <si>
    <t>2019/03/19</t>
  </si>
  <si>
    <t>2019/03/20</t>
  </si>
  <si>
    <t>2019/03/21</t>
  </si>
  <si>
    <t>2019/03/22</t>
  </si>
  <si>
    <t>2019/03/25</t>
  </si>
  <si>
    <t>2019/03/26</t>
  </si>
  <si>
    <t>2019/03/27</t>
  </si>
  <si>
    <t>2019/03/28</t>
  </si>
  <si>
    <t>2019/03/29</t>
  </si>
  <si>
    <t>2019/04/01</t>
  </si>
  <si>
    <t>2019/04/02</t>
  </si>
  <si>
    <t>2019/04/03</t>
  </si>
  <si>
    <t>2019/04/04</t>
  </si>
  <si>
    <t>2019/04/08</t>
  </si>
  <si>
    <t>2019/04/09</t>
  </si>
  <si>
    <t>2019/04/10</t>
  </si>
  <si>
    <t>2019/04/11</t>
  </si>
  <si>
    <t>2019/04/12</t>
  </si>
  <si>
    <t>2019/04/15</t>
  </si>
  <si>
    <t>2019/04/16</t>
  </si>
  <si>
    <t>2019/04/17</t>
  </si>
  <si>
    <t>2019/04/18</t>
  </si>
  <si>
    <t>2019/04/23</t>
  </si>
  <si>
    <t>2019/04/24</t>
  </si>
  <si>
    <t>2019/04/25</t>
  </si>
  <si>
    <t>2019/04/26</t>
  </si>
  <si>
    <t>2019/04/29</t>
  </si>
  <si>
    <t>2019/04/30</t>
  </si>
  <si>
    <t>2019/05/02</t>
  </si>
  <si>
    <t>2019/05/03</t>
  </si>
  <si>
    <t>2019/05/06</t>
  </si>
  <si>
    <t>2019/05/07</t>
  </si>
  <si>
    <t>2019/05/08</t>
  </si>
  <si>
    <t>2019/05/09</t>
  </si>
  <si>
    <t>2019/05/10</t>
  </si>
  <si>
    <t>2019/05/14</t>
  </si>
  <si>
    <t>2019/05/15</t>
  </si>
  <si>
    <t>2019/05/16</t>
  </si>
  <si>
    <t>2019/05/17</t>
  </si>
  <si>
    <t>2019/05/20</t>
  </si>
  <si>
    <t>2019/05/21</t>
  </si>
  <si>
    <t>2019/05/22</t>
  </si>
  <si>
    <t>2019/05/23</t>
  </si>
  <si>
    <t>2019/05/24</t>
  </si>
  <si>
    <t>2019/05/27</t>
  </si>
  <si>
    <t>2019/05/28</t>
  </si>
  <si>
    <t>2019/05/29</t>
  </si>
  <si>
    <t>2019/05/30</t>
  </si>
  <si>
    <t>2019/05/31</t>
  </si>
  <si>
    <t>2019/06/03</t>
  </si>
  <si>
    <t>2019/06/04</t>
  </si>
  <si>
    <t>2019/06/05</t>
  </si>
  <si>
    <t>2019/06/06</t>
  </si>
  <si>
    <t>2019/06/10</t>
  </si>
  <si>
    <t>2019/06/11</t>
  </si>
  <si>
    <t>2019/06/12</t>
  </si>
  <si>
    <t>2019/06/13</t>
  </si>
  <si>
    <t>2019/06/14</t>
  </si>
  <si>
    <t>2019/06/17</t>
  </si>
  <si>
    <t>2019/06/18</t>
  </si>
  <si>
    <t>2019/06/19</t>
  </si>
  <si>
    <t>2019/06/20</t>
  </si>
  <si>
    <t>2019/06/21</t>
  </si>
  <si>
    <t>2019/06/24</t>
  </si>
  <si>
    <t>2019/06/25</t>
  </si>
  <si>
    <t>2019/06/26</t>
  </si>
  <si>
    <t>2019/06/27</t>
  </si>
  <si>
    <t>2019/06/28</t>
  </si>
  <si>
    <t>2019/07/02</t>
  </si>
  <si>
    <t>2019/07/03</t>
  </si>
  <si>
    <t>2019/07/04</t>
  </si>
  <si>
    <t>2019/07/05</t>
  </si>
  <si>
    <t>2019/07/08</t>
  </si>
  <si>
    <t>2019/07/09</t>
  </si>
  <si>
    <t>2019/07/10</t>
  </si>
  <si>
    <t>2019/07/11</t>
  </si>
  <si>
    <t>2019/07/12</t>
  </si>
  <si>
    <t>2019/07/15</t>
  </si>
  <si>
    <t>2019/07/16</t>
  </si>
  <si>
    <t>2019/07/17</t>
  </si>
  <si>
    <t>2019/07/18</t>
  </si>
  <si>
    <t>2019/07/19</t>
  </si>
  <si>
    <t>2019/07/22</t>
  </si>
  <si>
    <t>2019/07/23</t>
  </si>
  <si>
    <t>2019/07/24</t>
  </si>
  <si>
    <t>2019/07/25</t>
  </si>
  <si>
    <t>2019/07/26</t>
  </si>
  <si>
    <t>2019/07/29</t>
  </si>
  <si>
    <t>2019/07/30</t>
  </si>
  <si>
    <t>2019/07/31</t>
  </si>
  <si>
    <t>2019/08/01</t>
  </si>
  <si>
    <t>2019/08/02</t>
  </si>
  <si>
    <t>2019/08/05</t>
  </si>
  <si>
    <t>2019/08/06</t>
  </si>
  <si>
    <t>2019/08/07</t>
  </si>
  <si>
    <t>2019/08/08</t>
  </si>
  <si>
    <t>2019/08/09</t>
  </si>
  <si>
    <t>2019/08/12</t>
  </si>
  <si>
    <t>2019/08/13</t>
  </si>
  <si>
    <t>2019/08/14</t>
  </si>
  <si>
    <t>2019/08/15</t>
  </si>
  <si>
    <t>2019/08/16</t>
  </si>
  <si>
    <t>2019/08/19</t>
  </si>
  <si>
    <t>2019/08/20</t>
  </si>
  <si>
    <t>2019/08/21</t>
  </si>
  <si>
    <t>2019/08/22</t>
  </si>
  <si>
    <t>2019/08/23</t>
  </si>
  <si>
    <t>2019/08/26</t>
  </si>
  <si>
    <t>2019/08/27</t>
  </si>
  <si>
    <t>2019/08/28</t>
  </si>
  <si>
    <t>2019/08/29</t>
  </si>
  <si>
    <t>2019/08/30</t>
  </si>
  <si>
    <t>2019/09/02</t>
  </si>
  <si>
    <t>2019/09/03</t>
  </si>
  <si>
    <t>2019/09/04</t>
  </si>
  <si>
    <t>2019/09/05</t>
  </si>
  <si>
    <t>2019/09/06</t>
  </si>
  <si>
    <t>2019/09/09</t>
  </si>
  <si>
    <t>2019/09/10</t>
  </si>
  <si>
    <t>2019/09/11</t>
  </si>
  <si>
    <t>2019/09/12</t>
  </si>
  <si>
    <t>2019/09/13</t>
  </si>
  <si>
    <t>2019/09/16</t>
  </si>
  <si>
    <t>2019/09/17</t>
  </si>
  <si>
    <t>2019/09/18</t>
  </si>
  <si>
    <t>2019/09/19</t>
  </si>
  <si>
    <t>2019/09/20</t>
  </si>
  <si>
    <t>2019/09/23</t>
  </si>
  <si>
    <t>2019/09/24</t>
  </si>
  <si>
    <t>2019/09/25</t>
  </si>
  <si>
    <t>2019/09/26</t>
  </si>
  <si>
    <t>2019/09/27</t>
  </si>
  <si>
    <t>2019/09/30</t>
  </si>
  <si>
    <t>2019/10/02</t>
  </si>
  <si>
    <t>2019/10/03</t>
  </si>
  <si>
    <t>2019/10/04</t>
  </si>
  <si>
    <t>2019/10/08</t>
  </si>
  <si>
    <t>2019/10/09</t>
  </si>
  <si>
    <t>2019/10/10</t>
  </si>
  <si>
    <t>2019/10/11</t>
  </si>
  <si>
    <t>2019/10/14</t>
  </si>
  <si>
    <t>2019/10/15</t>
  </si>
  <si>
    <t>2019/10/16</t>
  </si>
  <si>
    <t>2019/10/17</t>
  </si>
  <si>
    <t>2019/10/18</t>
  </si>
  <si>
    <t>2019/10/21</t>
  </si>
  <si>
    <t>2019/10/22</t>
  </si>
  <si>
    <t>2019/10/23</t>
  </si>
  <si>
    <t>2019/10/24</t>
  </si>
  <si>
    <t>2019/10/25</t>
  </si>
  <si>
    <t>2019/10/28</t>
  </si>
  <si>
    <t>2019/10/29</t>
  </si>
  <si>
    <t>2019/10/30</t>
  </si>
  <si>
    <t>2019/10/31</t>
  </si>
  <si>
    <t>2019/11/01</t>
  </si>
  <si>
    <t>2019/11/04</t>
  </si>
  <si>
    <t>2019/11/05</t>
  </si>
  <si>
    <t>2019/11/06</t>
  </si>
  <si>
    <t>2019/11/07</t>
  </si>
  <si>
    <t>2019/11/08</t>
  </si>
  <si>
    <t>2019/11/11</t>
  </si>
  <si>
    <t>2019/11/12</t>
  </si>
  <si>
    <t>2019/11/13</t>
  </si>
  <si>
    <t>2019/11/14</t>
  </si>
  <si>
    <t>2019/11/15</t>
  </si>
  <si>
    <t>2019/11/18</t>
  </si>
  <si>
    <t>2019/11/19</t>
  </si>
  <si>
    <t>2019/11/20</t>
  </si>
  <si>
    <t>2019/11/21</t>
  </si>
  <si>
    <t>2019/11/22</t>
  </si>
  <si>
    <t>2019/11/25</t>
  </si>
  <si>
    <t>2019/11/26</t>
  </si>
  <si>
    <t>2019/11/27</t>
  </si>
  <si>
    <t>2019/11/28</t>
  </si>
  <si>
    <t>2019/11/29</t>
  </si>
  <si>
    <t>Eigenvector</t>
  </si>
  <si>
    <t>Eigenmode</t>
  </si>
  <si>
    <t>inverse</t>
  </si>
  <si>
    <t>Projection</t>
  </si>
  <si>
    <t>EWP</t>
  </si>
  <si>
    <t>volume</t>
  </si>
  <si>
    <t>0.1</t>
  </si>
  <si>
    <t>Sign-corrected eigenvectors</t>
  </si>
  <si>
    <t>Risk wt</t>
  </si>
  <si>
    <t>Eigenmodes sorted with decreasing magnitude of eigenvalues</t>
  </si>
  <si>
    <t>Cumulative variance</t>
  </si>
  <si>
    <t>First 4 modes are selected for 80% cumulative variance.</t>
  </si>
  <si>
    <t>HK0001</t>
  </si>
  <si>
    <t>HK0002</t>
  </si>
  <si>
    <t>HK0003</t>
  </si>
  <si>
    <t>HK0005</t>
  </si>
  <si>
    <t>HK0006</t>
  </si>
  <si>
    <t>HK0011</t>
  </si>
  <si>
    <t>HK0012</t>
  </si>
  <si>
    <t>HK0016</t>
  </si>
  <si>
    <t>HK0017</t>
  </si>
  <si>
    <t>HK0019</t>
  </si>
  <si>
    <t>Equal weight stock (EWS)</t>
  </si>
  <si>
    <t>Risk equity (RE)</t>
  </si>
  <si>
    <t>Equal weight portfolio (EWP)</t>
  </si>
  <si>
    <t>Correlation</t>
  </si>
  <si>
    <t>Eigenvalues and eigenvectors copied from the matrix area</t>
  </si>
  <si>
    <t>Minimum</t>
  </si>
  <si>
    <t>equal wt</t>
  </si>
  <si>
    <t>stock wt</t>
  </si>
  <si>
    <t>Diversified risk parity (DRP)</t>
  </si>
  <si>
    <t>DRP</t>
  </si>
  <si>
    <t>長和</t>
  </si>
  <si>
    <t>中電控股</t>
  </si>
  <si>
    <t>香港中華煤氣</t>
  </si>
  <si>
    <t>滙豐控股</t>
  </si>
  <si>
    <t>電能實業</t>
  </si>
  <si>
    <t>恒生銀行</t>
  </si>
  <si>
    <t>恒基地產</t>
  </si>
  <si>
    <t>新鴻基地產</t>
  </si>
  <si>
    <t>新世界發展</t>
  </si>
  <si>
    <t>太古股份公司'A'</t>
  </si>
  <si>
    <t>^HSI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</si>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</sst>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0"/>
      <name val="Arial"/>
    </font>
    <font>
      <sz val="10"/>
      <name val="Calibri"/>
      <family val="2"/>
      <scheme val="minor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Fill="1" applyAlignment="1">
      <alignment horizontal="center" vertical="center"/>
    </xf>
    <xf numFmtId="0" fontId="1" fillId="3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vertical="center"/>
    </xf>
    <xf numFmtId="0" fontId="1" fillId="0" borderId="0" xfId="0" applyNumberFormat="1" applyFont="1" applyFill="1" applyAlignment="1">
      <alignment vertical="center"/>
    </xf>
    <xf numFmtId="0" fontId="1" fillId="2" borderId="0" xfId="0" applyNumberFormat="1" applyFont="1" applyFill="1" applyAlignment="1">
      <alignment vertical="center"/>
    </xf>
    <xf numFmtId="0" fontId="1" fillId="5" borderId="0" xfId="0" applyNumberFormat="1" applyFont="1" applyFill="1" applyAlignment="1">
      <alignment vertical="center"/>
    </xf>
    <xf numFmtId="0" fontId="1" fillId="5" borderId="0" xfId="0" applyNumberFormat="1" applyFont="1" applyFill="1" applyAlignment="1">
      <alignment horizontal="center" vertical="center"/>
    </xf>
    <xf numFmtId="0" fontId="1" fillId="6" borderId="0" xfId="0" applyNumberFormat="1" applyFont="1" applyFill="1" applyAlignment="1">
      <alignment vertical="center"/>
    </xf>
    <xf numFmtId="0" fontId="1" fillId="6" borderId="0" xfId="0" applyNumberFormat="1" applyFont="1" applyFill="1" applyAlignment="1">
      <alignment horizontal="center" vertical="center"/>
    </xf>
    <xf numFmtId="0" fontId="1" fillId="6" borderId="0" xfId="0" applyNumberFormat="1" applyFont="1" applyFill="1" applyAlignment="1">
      <alignment horizontal="left" vertical="center"/>
    </xf>
    <xf numFmtId="0" fontId="1" fillId="7" borderId="0" xfId="0" applyNumberFormat="1" applyFont="1" applyFill="1" applyAlignment="1">
      <alignment vertical="center"/>
    </xf>
    <xf numFmtId="0" fontId="1" fillId="7" borderId="0" xfId="0" applyNumberFormat="1" applyFont="1" applyFill="1" applyAlignment="1">
      <alignment horizontal="center" vertical="center"/>
    </xf>
    <xf numFmtId="0" fontId="1" fillId="7" borderId="0" xfId="0" applyNumberFormat="1" applyFont="1" applyFill="1" applyAlignment="1">
      <alignment horizontal="left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FFFF99"/>
      <color rgb="FFFFCC99"/>
      <color rgb="FFFFCCCC"/>
      <color rgb="FFCCFF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PCA!$AA$55:$AJ$55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PCA!$AA$56:$AJ$56</c:f>
              <c:numCache>
                <c:formatCode>General</c:formatCode>
                <c:ptCount val="10"/>
                <c:pt idx="0">
                  <c:v>5.6509079706213985</c:v>
                </c:pt>
                <c:pt idx="1">
                  <c:v>0.88528836713731818</c:v>
                </c:pt>
                <c:pt idx="2">
                  <c:v>0.70518911404800388</c:v>
                </c:pt>
                <c:pt idx="3">
                  <c:v>0.63737071871490925</c:v>
                </c:pt>
                <c:pt idx="4">
                  <c:v>0.53714513275230236</c:v>
                </c:pt>
                <c:pt idx="5">
                  <c:v>0.47954106986702005</c:v>
                </c:pt>
                <c:pt idx="6">
                  <c:v>0.41156018710868636</c:v>
                </c:pt>
                <c:pt idx="7">
                  <c:v>0.28513398413949509</c:v>
                </c:pt>
                <c:pt idx="8">
                  <c:v>0.22168792986420222</c:v>
                </c:pt>
                <c:pt idx="9">
                  <c:v>0.18617552574666041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08-4F04-86A5-BC291E5B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256784"/>
        <c:axId val="503623624"/>
      </c:scatterChart>
      <c:valAx>
        <c:axId val="36525678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Eigenmode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23624"/>
        <c:crosses val="autoZero"/>
        <c:crossBetween val="midCat"/>
      </c:valAx>
      <c:valAx>
        <c:axId val="50362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5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2nd and 3rd principal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PCA!$AK$57</c:f>
              <c:strCache>
                <c:ptCount val="1"/>
                <c:pt idx="0">
                  <c:v>長和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PCA!$AB$57</c:f>
              <c:numCache>
                <c:formatCode>General</c:formatCode>
                <c:ptCount val="1"/>
                <c:pt idx="0">
                  <c:v>-0.29379584576020928</c:v>
                </c:pt>
              </c:numCache>
            </c:numRef>
          </c:xVal>
          <c:yVal>
            <c:numRef>
              <c:f>PCA!$AC$57</c:f>
              <c:numCache>
                <c:formatCode>General</c:formatCode>
                <c:ptCount val="1"/>
                <c:pt idx="0">
                  <c:v>5.4543042181097449E-2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5-4F42-B93A-3D37FA36A011}"/>
            </c:ext>
          </c:extLst>
        </c:ser>
        <c:ser>
          <c:idx val="1"/>
          <c:order val="1"/>
          <c:tx>
            <c:strRef>
              <c:f>PCA!$AK$58</c:f>
              <c:strCache>
                <c:ptCount val="1"/>
                <c:pt idx="0">
                  <c:v>中電控股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PCA!$AB$58</c:f>
              <c:numCache>
                <c:formatCode>General</c:formatCode>
                <c:ptCount val="1"/>
                <c:pt idx="0">
                  <c:v>0.62604279763990445</c:v>
                </c:pt>
              </c:numCache>
            </c:numRef>
          </c:xVal>
          <c:yVal>
            <c:numRef>
              <c:f>PCA!$AC$58</c:f>
              <c:numCache>
                <c:formatCode>General</c:formatCode>
                <c:ptCount val="1"/>
                <c:pt idx="0">
                  <c:v>-8.5877739848753465E-2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55-4F42-B93A-3D37FA36A011}"/>
            </c:ext>
          </c:extLst>
        </c:ser>
        <c:ser>
          <c:idx val="2"/>
          <c:order val="2"/>
          <c:tx>
            <c:strRef>
              <c:f>PCA!$AK$59</c:f>
              <c:strCache>
                <c:ptCount val="1"/>
                <c:pt idx="0">
                  <c:v>香港中華煤氣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PCA!$AB$59</c:f>
              <c:numCache>
                <c:formatCode>General</c:formatCode>
                <c:ptCount val="1"/>
                <c:pt idx="0">
                  <c:v>0.55828605318847813</c:v>
                </c:pt>
              </c:numCache>
            </c:numRef>
          </c:xVal>
          <c:yVal>
            <c:numRef>
              <c:f>PCA!$AC$59</c:f>
              <c:numCache>
                <c:formatCode>General</c:formatCode>
                <c:ptCount val="1"/>
                <c:pt idx="0">
                  <c:v>-6.6216471030159776E-2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55-4F42-B93A-3D37FA36A011}"/>
            </c:ext>
          </c:extLst>
        </c:ser>
        <c:ser>
          <c:idx val="3"/>
          <c:order val="3"/>
          <c:tx>
            <c:strRef>
              <c:f>PCA!$AK$60</c:f>
              <c:strCache>
                <c:ptCount val="1"/>
                <c:pt idx="0">
                  <c:v>滙豐控股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PCA!$AB$60</c:f>
              <c:numCache>
                <c:formatCode>General</c:formatCode>
                <c:ptCount val="1"/>
                <c:pt idx="0">
                  <c:v>-0.11355579448402661</c:v>
                </c:pt>
              </c:numCache>
            </c:numRef>
          </c:xVal>
          <c:yVal>
            <c:numRef>
              <c:f>PCA!$AC$60</c:f>
              <c:numCache>
                <c:formatCode>General</c:formatCode>
                <c:ptCount val="1"/>
                <c:pt idx="0">
                  <c:v>0.6842174685245529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55-4F42-B93A-3D37FA36A011}"/>
            </c:ext>
          </c:extLst>
        </c:ser>
        <c:ser>
          <c:idx val="4"/>
          <c:order val="4"/>
          <c:tx>
            <c:strRef>
              <c:f>PCA!$AK$61</c:f>
              <c:strCache>
                <c:ptCount val="1"/>
                <c:pt idx="0">
                  <c:v>電能實業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PCA!$AB$61</c:f>
              <c:numCache>
                <c:formatCode>General</c:formatCode>
                <c:ptCount val="1"/>
                <c:pt idx="0">
                  <c:v>7.6836830057155185E-3</c:v>
                </c:pt>
              </c:numCache>
            </c:numRef>
          </c:xVal>
          <c:yVal>
            <c:numRef>
              <c:f>PCA!$AC$61</c:f>
              <c:numCache>
                <c:formatCode>General</c:formatCode>
                <c:ptCount val="1"/>
                <c:pt idx="0">
                  <c:v>-0.45075786111268101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55-4F42-B93A-3D37FA36A011}"/>
            </c:ext>
          </c:extLst>
        </c:ser>
        <c:ser>
          <c:idx val="5"/>
          <c:order val="5"/>
          <c:tx>
            <c:strRef>
              <c:f>PCA!$AK$62</c:f>
              <c:strCache>
                <c:ptCount val="1"/>
                <c:pt idx="0">
                  <c:v>恒生銀行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PCA!$AB$62</c:f>
              <c:numCache>
                <c:formatCode>General</c:formatCode>
                <c:ptCount val="1"/>
                <c:pt idx="0">
                  <c:v>0.12948964914049038</c:v>
                </c:pt>
              </c:numCache>
            </c:numRef>
          </c:xVal>
          <c:yVal>
            <c:numRef>
              <c:f>PCA!$AC$62</c:f>
              <c:numCache>
                <c:formatCode>General</c:formatCode>
                <c:ptCount val="1"/>
                <c:pt idx="0">
                  <c:v>0.44989424922149368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55-4F42-B93A-3D37FA36A011}"/>
            </c:ext>
          </c:extLst>
        </c:ser>
        <c:ser>
          <c:idx val="6"/>
          <c:order val="6"/>
          <c:tx>
            <c:strRef>
              <c:f>PCA!$AK$63</c:f>
              <c:strCache>
                <c:ptCount val="1"/>
                <c:pt idx="0">
                  <c:v>恒基地產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PCA!$AB$63</c:f>
              <c:numCache>
                <c:formatCode>General</c:formatCode>
                <c:ptCount val="1"/>
                <c:pt idx="0">
                  <c:v>-6.5273387846608161E-2</c:v>
                </c:pt>
              </c:numCache>
            </c:numRef>
          </c:xVal>
          <c:yVal>
            <c:numRef>
              <c:f>PCA!$AC$63</c:f>
              <c:numCache>
                <c:formatCode>General</c:formatCode>
                <c:ptCount val="1"/>
                <c:pt idx="0">
                  <c:v>-6.1686027597552137E-2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55-4F42-B93A-3D37FA36A011}"/>
            </c:ext>
          </c:extLst>
        </c:ser>
        <c:ser>
          <c:idx val="7"/>
          <c:order val="7"/>
          <c:tx>
            <c:strRef>
              <c:f>PCA!$AK$64</c:f>
              <c:strCache>
                <c:ptCount val="1"/>
                <c:pt idx="0">
                  <c:v>新鴻基地產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PCA!$AB$64</c:f>
              <c:numCache>
                <c:formatCode>General</c:formatCode>
                <c:ptCount val="1"/>
                <c:pt idx="0">
                  <c:v>-0.16778754565581402</c:v>
                </c:pt>
              </c:numCache>
            </c:numRef>
          </c:xVal>
          <c:yVal>
            <c:numRef>
              <c:f>PCA!$AC$64</c:f>
              <c:numCache>
                <c:formatCode>General</c:formatCode>
                <c:ptCount val="1"/>
                <c:pt idx="0">
                  <c:v>-0.16772172850664654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55-4F42-B93A-3D37FA36A011}"/>
            </c:ext>
          </c:extLst>
        </c:ser>
        <c:ser>
          <c:idx val="8"/>
          <c:order val="8"/>
          <c:tx>
            <c:strRef>
              <c:f>PCA!$AK$65</c:f>
              <c:strCache>
                <c:ptCount val="1"/>
                <c:pt idx="0">
                  <c:v>新世界發展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PCA!$AB$65</c:f>
              <c:numCache>
                <c:formatCode>General</c:formatCode>
                <c:ptCount val="1"/>
                <c:pt idx="0">
                  <c:v>-0.22227313792553774</c:v>
                </c:pt>
              </c:numCache>
            </c:numRef>
          </c:xVal>
          <c:yVal>
            <c:numRef>
              <c:f>PCA!$AC$65</c:f>
              <c:numCache>
                <c:formatCode>General</c:formatCode>
                <c:ptCount val="1"/>
                <c:pt idx="0">
                  <c:v>-0.24756342236273765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55-4F42-B93A-3D37FA36A011}"/>
            </c:ext>
          </c:extLst>
        </c:ser>
        <c:ser>
          <c:idx val="9"/>
          <c:order val="9"/>
          <c:tx>
            <c:strRef>
              <c:f>PCA!$AK$66</c:f>
              <c:strCache>
                <c:ptCount val="1"/>
                <c:pt idx="0">
                  <c:v>太古股份公司'A'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PCA!$AB$66</c:f>
              <c:numCache>
                <c:formatCode>General</c:formatCode>
                <c:ptCount val="1"/>
                <c:pt idx="0">
                  <c:v>-0.31389639881826931</c:v>
                </c:pt>
              </c:numCache>
            </c:numRef>
          </c:xVal>
          <c:yVal>
            <c:numRef>
              <c:f>PCA!$AC$66</c:f>
              <c:numCache>
                <c:formatCode>General</c:formatCode>
                <c:ptCount val="1"/>
                <c:pt idx="0">
                  <c:v>-0.13528129188782986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755-4F42-B93A-3D37FA36A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103904"/>
        <c:axId val="1224110976"/>
      </c:scatterChart>
      <c:valAx>
        <c:axId val="122410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10976"/>
        <c:crosses val="autoZero"/>
        <c:crossBetween val="midCat"/>
      </c:valAx>
      <c:valAx>
        <c:axId val="122411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1st and 2nd principal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PCA!$AK$57</c:f>
              <c:strCache>
                <c:ptCount val="1"/>
                <c:pt idx="0">
                  <c:v>長和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PCA!$AA$57</c:f>
              <c:numCache>
                <c:formatCode>General</c:formatCode>
                <c:ptCount val="1"/>
                <c:pt idx="0">
                  <c:v>0.30943176576903642</c:v>
                </c:pt>
              </c:numCache>
            </c:numRef>
          </c:xVal>
          <c:yVal>
            <c:numRef>
              <c:f>PCA!$AB$57</c:f>
              <c:numCache>
                <c:formatCode>General</c:formatCode>
                <c:ptCount val="1"/>
                <c:pt idx="0">
                  <c:v>-0.29379584576020928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FB-4B5A-8CC7-8E8F0A745A8F}"/>
            </c:ext>
          </c:extLst>
        </c:ser>
        <c:ser>
          <c:idx val="1"/>
          <c:order val="1"/>
          <c:tx>
            <c:strRef>
              <c:f>PCA!$AK$58</c:f>
              <c:strCache>
                <c:ptCount val="1"/>
                <c:pt idx="0">
                  <c:v>中電控股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PCA!$AA$58</c:f>
              <c:numCache>
                <c:formatCode>General</c:formatCode>
                <c:ptCount val="1"/>
                <c:pt idx="0">
                  <c:v>0.27238884516301004</c:v>
                </c:pt>
              </c:numCache>
            </c:numRef>
          </c:xVal>
          <c:yVal>
            <c:numRef>
              <c:f>PCA!$AB$58</c:f>
              <c:numCache>
                <c:formatCode>General</c:formatCode>
                <c:ptCount val="1"/>
                <c:pt idx="0">
                  <c:v>0.62604279763990445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B-4B5A-8CC7-8E8F0A745A8F}"/>
            </c:ext>
          </c:extLst>
        </c:ser>
        <c:ser>
          <c:idx val="2"/>
          <c:order val="2"/>
          <c:tx>
            <c:strRef>
              <c:f>PCA!$AK$59</c:f>
              <c:strCache>
                <c:ptCount val="1"/>
                <c:pt idx="0">
                  <c:v>香港中華煤氣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PCA!$AA$59</c:f>
              <c:numCache>
                <c:formatCode>General</c:formatCode>
                <c:ptCount val="1"/>
                <c:pt idx="0">
                  <c:v>0.28730271833153681</c:v>
                </c:pt>
              </c:numCache>
            </c:numRef>
          </c:xVal>
          <c:yVal>
            <c:numRef>
              <c:f>PCA!$AB$59</c:f>
              <c:numCache>
                <c:formatCode>General</c:formatCode>
                <c:ptCount val="1"/>
                <c:pt idx="0">
                  <c:v>0.55828605318847813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B-4B5A-8CC7-8E8F0A745A8F}"/>
            </c:ext>
          </c:extLst>
        </c:ser>
        <c:ser>
          <c:idx val="3"/>
          <c:order val="3"/>
          <c:tx>
            <c:strRef>
              <c:f>PCA!$AK$60</c:f>
              <c:strCache>
                <c:ptCount val="1"/>
                <c:pt idx="0">
                  <c:v>滙豐控股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PCA!$AA$60</c:f>
              <c:numCache>
                <c:formatCode>General</c:formatCode>
                <c:ptCount val="1"/>
                <c:pt idx="0">
                  <c:v>0.2989256097225354</c:v>
                </c:pt>
              </c:numCache>
            </c:numRef>
          </c:xVal>
          <c:yVal>
            <c:numRef>
              <c:f>PCA!$AB$60</c:f>
              <c:numCache>
                <c:formatCode>General</c:formatCode>
                <c:ptCount val="1"/>
                <c:pt idx="0">
                  <c:v>-0.11355579448402661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FB-4B5A-8CC7-8E8F0A745A8F}"/>
            </c:ext>
          </c:extLst>
        </c:ser>
        <c:ser>
          <c:idx val="4"/>
          <c:order val="4"/>
          <c:tx>
            <c:strRef>
              <c:f>PCA!$AK$61</c:f>
              <c:strCache>
                <c:ptCount val="1"/>
                <c:pt idx="0">
                  <c:v>電能實業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PCA!$AA$61</c:f>
              <c:numCache>
                <c:formatCode>General</c:formatCode>
                <c:ptCount val="1"/>
                <c:pt idx="0">
                  <c:v>0.27627927046943457</c:v>
                </c:pt>
              </c:numCache>
            </c:numRef>
          </c:xVal>
          <c:yVal>
            <c:numRef>
              <c:f>PCA!$AB$61</c:f>
              <c:numCache>
                <c:formatCode>General</c:formatCode>
                <c:ptCount val="1"/>
                <c:pt idx="0">
                  <c:v>7.6836830057155185E-3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FB-4B5A-8CC7-8E8F0A745A8F}"/>
            </c:ext>
          </c:extLst>
        </c:ser>
        <c:ser>
          <c:idx val="5"/>
          <c:order val="5"/>
          <c:tx>
            <c:strRef>
              <c:f>PCA!$AK$62</c:f>
              <c:strCache>
                <c:ptCount val="1"/>
                <c:pt idx="0">
                  <c:v>恒生銀行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PCA!$AA$62</c:f>
              <c:numCache>
                <c:formatCode>General</c:formatCode>
                <c:ptCount val="1"/>
                <c:pt idx="0">
                  <c:v>0.34187639488590671</c:v>
                </c:pt>
              </c:numCache>
            </c:numRef>
          </c:xVal>
          <c:yVal>
            <c:numRef>
              <c:f>PCA!$AB$62</c:f>
              <c:numCache>
                <c:formatCode>General</c:formatCode>
                <c:ptCount val="1"/>
                <c:pt idx="0">
                  <c:v>0.12948964914049038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FB-4B5A-8CC7-8E8F0A745A8F}"/>
            </c:ext>
          </c:extLst>
        </c:ser>
        <c:ser>
          <c:idx val="6"/>
          <c:order val="6"/>
          <c:tx>
            <c:strRef>
              <c:f>PCA!$AK$63</c:f>
              <c:strCache>
                <c:ptCount val="1"/>
                <c:pt idx="0">
                  <c:v>恒基地產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PCA!$AA$63</c:f>
              <c:numCache>
                <c:formatCode>General</c:formatCode>
                <c:ptCount val="1"/>
                <c:pt idx="0">
                  <c:v>0.35845327544528666</c:v>
                </c:pt>
              </c:numCache>
            </c:numRef>
          </c:xVal>
          <c:yVal>
            <c:numRef>
              <c:f>PCA!$AB$63</c:f>
              <c:numCache>
                <c:formatCode>General</c:formatCode>
                <c:ptCount val="1"/>
                <c:pt idx="0">
                  <c:v>-6.5273387846608161E-2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6FB-4B5A-8CC7-8E8F0A745A8F}"/>
            </c:ext>
          </c:extLst>
        </c:ser>
        <c:ser>
          <c:idx val="7"/>
          <c:order val="7"/>
          <c:tx>
            <c:strRef>
              <c:f>PCA!$AK$64</c:f>
              <c:strCache>
                <c:ptCount val="1"/>
                <c:pt idx="0">
                  <c:v>新鴻基地產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PCA!$AA$64</c:f>
              <c:numCache>
                <c:formatCode>General</c:formatCode>
                <c:ptCount val="1"/>
                <c:pt idx="0">
                  <c:v>0.36270764216794532</c:v>
                </c:pt>
              </c:numCache>
            </c:numRef>
          </c:xVal>
          <c:yVal>
            <c:numRef>
              <c:f>PCA!$AB$64</c:f>
              <c:numCache>
                <c:formatCode>General</c:formatCode>
                <c:ptCount val="1"/>
                <c:pt idx="0">
                  <c:v>-0.16778754565581402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6FB-4B5A-8CC7-8E8F0A745A8F}"/>
            </c:ext>
          </c:extLst>
        </c:ser>
        <c:ser>
          <c:idx val="8"/>
          <c:order val="8"/>
          <c:tx>
            <c:strRef>
              <c:f>PCA!$AK$65</c:f>
              <c:strCache>
                <c:ptCount val="1"/>
                <c:pt idx="0">
                  <c:v>新世界發展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PCA!$AA$65</c:f>
              <c:numCache>
                <c:formatCode>General</c:formatCode>
                <c:ptCount val="1"/>
                <c:pt idx="0">
                  <c:v>0.34806790525818582</c:v>
                </c:pt>
              </c:numCache>
            </c:numRef>
          </c:xVal>
          <c:yVal>
            <c:numRef>
              <c:f>PCA!$AB$65</c:f>
              <c:numCache>
                <c:formatCode>General</c:formatCode>
                <c:ptCount val="1"/>
                <c:pt idx="0">
                  <c:v>-0.22227313792553774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6FB-4B5A-8CC7-8E8F0A745A8F}"/>
            </c:ext>
          </c:extLst>
        </c:ser>
        <c:ser>
          <c:idx val="9"/>
          <c:order val="9"/>
          <c:tx>
            <c:strRef>
              <c:f>PCA!$AK$66</c:f>
              <c:strCache>
                <c:ptCount val="1"/>
                <c:pt idx="0">
                  <c:v>太古股份公司'A'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PCA!$AA$66</c:f>
              <c:numCache>
                <c:formatCode>General</c:formatCode>
                <c:ptCount val="1"/>
                <c:pt idx="0">
                  <c:v>0.28939656450712098</c:v>
                </c:pt>
              </c:numCache>
            </c:numRef>
          </c:xVal>
          <c:yVal>
            <c:numRef>
              <c:f>PCA!$AB$66</c:f>
              <c:numCache>
                <c:formatCode>General</c:formatCode>
                <c:ptCount val="1"/>
                <c:pt idx="0">
                  <c:v>-0.31389639881826931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6FB-4B5A-8CC7-8E8F0A745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103904"/>
        <c:axId val="1224110976"/>
      </c:scatterChart>
      <c:valAx>
        <c:axId val="1224103904"/>
        <c:scaling>
          <c:orientation val="minMax"/>
          <c:min val="0.2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10976"/>
        <c:crosses val="autoZero"/>
        <c:crossBetween val="midCat"/>
      </c:valAx>
      <c:valAx>
        <c:axId val="122411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Equal weight stock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PCA!$BB$5:$BB$250</c:f>
              <c:numCache>
                <c:formatCode>General</c:formatCode>
                <c:ptCount val="246"/>
                <c:pt idx="0">
                  <c:v>0.99999999999999989</c:v>
                </c:pt>
                <c:pt idx="1">
                  <c:v>1.0110115289875348</c:v>
                </c:pt>
                <c:pt idx="2">
                  <c:v>1.0112516908292946</c:v>
                </c:pt>
                <c:pt idx="3">
                  <c:v>1.0007478643789423</c:v>
                </c:pt>
                <c:pt idx="4">
                  <c:v>0.99169381548106506</c:v>
                </c:pt>
                <c:pt idx="5">
                  <c:v>0.99274512455755293</c:v>
                </c:pt>
                <c:pt idx="6">
                  <c:v>0.97901885593476323</c:v>
                </c:pt>
                <c:pt idx="7">
                  <c:v>0.97787639874796328</c:v>
                </c:pt>
                <c:pt idx="8">
                  <c:v>0.9896108850805303</c:v>
                </c:pt>
                <c:pt idx="9">
                  <c:v>0.99984444990534793</c:v>
                </c:pt>
                <c:pt idx="10">
                  <c:v>0.997477167650895</c:v>
                </c:pt>
                <c:pt idx="11">
                  <c:v>1.0030172250992277</c:v>
                </c:pt>
                <c:pt idx="12">
                  <c:v>0.99782501052084005</c:v>
                </c:pt>
                <c:pt idx="13">
                  <c:v>0.99905401750428091</c:v>
                </c:pt>
                <c:pt idx="14">
                  <c:v>0.99128702473487673</c:v>
                </c:pt>
                <c:pt idx="15">
                  <c:v>0.98859636107189119</c:v>
                </c:pt>
                <c:pt idx="16">
                  <c:v>0.9927219826759055</c:v>
                </c:pt>
                <c:pt idx="17">
                  <c:v>0.98579143736210506</c:v>
                </c:pt>
                <c:pt idx="18">
                  <c:v>0.98053334270322634</c:v>
                </c:pt>
                <c:pt idx="19">
                  <c:v>0.98542963847978682</c:v>
                </c:pt>
                <c:pt idx="20">
                  <c:v>0.96794298877598384</c:v>
                </c:pt>
                <c:pt idx="21">
                  <c:v>0.96779899064807329</c:v>
                </c:pt>
                <c:pt idx="22">
                  <c:v>0.99332915722730397</c:v>
                </c:pt>
                <c:pt idx="23">
                  <c:v>1.0001986058441392</c:v>
                </c:pt>
                <c:pt idx="24">
                  <c:v>1.0111141626789697</c:v>
                </c:pt>
                <c:pt idx="25">
                  <c:v>1.0228294033858945</c:v>
                </c:pt>
                <c:pt idx="26">
                  <c:v>1.021017425470421</c:v>
                </c:pt>
                <c:pt idx="27">
                  <c:v>1.0281306440693179</c:v>
                </c:pt>
                <c:pt idx="28">
                  <c:v>1.0203389294483813</c:v>
                </c:pt>
                <c:pt idx="29">
                  <c:v>1.033772794697281</c:v>
                </c:pt>
                <c:pt idx="30">
                  <c:v>1.0371564984984758</c:v>
                </c:pt>
                <c:pt idx="31">
                  <c:v>1.0301240476184894</c:v>
                </c:pt>
                <c:pt idx="32">
                  <c:v>1.0389112569414427</c:v>
                </c:pt>
                <c:pt idx="33">
                  <c:v>1.0378723116600772</c:v>
                </c:pt>
                <c:pt idx="34">
                  <c:v>1.0346227363381471</c:v>
                </c:pt>
                <c:pt idx="35">
                  <c:v>1.0404977702792262</c:v>
                </c:pt>
                <c:pt idx="36">
                  <c:v>1.0486096832465128</c:v>
                </c:pt>
                <c:pt idx="37">
                  <c:v>1.0572150975996191</c:v>
                </c:pt>
                <c:pt idx="38">
                  <c:v>1.0497907222864513</c:v>
                </c:pt>
                <c:pt idx="39">
                  <c:v>1.0514481143536927</c:v>
                </c:pt>
                <c:pt idx="40">
                  <c:v>1.0568672542829132</c:v>
                </c:pt>
                <c:pt idx="41">
                  <c:v>1.0607174405699602</c:v>
                </c:pt>
                <c:pt idx="42">
                  <c:v>1.0574595612645057</c:v>
                </c:pt>
                <c:pt idx="43">
                  <c:v>1.0569241855962273</c:v>
                </c:pt>
                <c:pt idx="44">
                  <c:v>1.0623178105918285</c:v>
                </c:pt>
                <c:pt idx="45">
                  <c:v>1.0693538266399136</c:v>
                </c:pt>
                <c:pt idx="46">
                  <c:v>1.0721949853726598</c:v>
                </c:pt>
                <c:pt idx="47">
                  <c:v>1.082337555202374</c:v>
                </c:pt>
                <c:pt idx="48">
                  <c:v>1.0843922863877942</c:v>
                </c:pt>
                <c:pt idx="49">
                  <c:v>1.0724075786369125</c:v>
                </c:pt>
                <c:pt idx="50">
                  <c:v>1.0802726825197222</c:v>
                </c:pt>
                <c:pt idx="51">
                  <c:v>1.0810749878981714</c:v>
                </c:pt>
                <c:pt idx="52">
                  <c:v>1.0902500349811914</c:v>
                </c:pt>
                <c:pt idx="53">
                  <c:v>1.0946100318150775</c:v>
                </c:pt>
                <c:pt idx="54">
                  <c:v>1.099785383238423</c:v>
                </c:pt>
                <c:pt idx="55">
                  <c:v>1.0908649994853949</c:v>
                </c:pt>
                <c:pt idx="56">
                  <c:v>1.0862740635149102</c:v>
                </c:pt>
                <c:pt idx="57">
                  <c:v>1.0918216420599405</c:v>
                </c:pt>
                <c:pt idx="58">
                  <c:v>1.0857551232370415</c:v>
                </c:pt>
                <c:pt idx="59">
                  <c:v>1.0851654860042803</c:v>
                </c:pt>
                <c:pt idx="60">
                  <c:v>1.085197062817836</c:v>
                </c:pt>
                <c:pt idx="61">
                  <c:v>1.0764134680204029</c:v>
                </c:pt>
                <c:pt idx="62">
                  <c:v>1.0805322434064302</c:v>
                </c:pt>
                <c:pt idx="63">
                  <c:v>1.0807480495344972</c:v>
                </c:pt>
                <c:pt idx="64">
                  <c:v>1.0701684693823919</c:v>
                </c:pt>
                <c:pt idx="65">
                  <c:v>1.0724525091291164</c:v>
                </c:pt>
                <c:pt idx="66">
                  <c:v>1.080305893917415</c:v>
                </c:pt>
                <c:pt idx="67">
                  <c:v>1.0782777143874245</c:v>
                </c:pt>
                <c:pt idx="68">
                  <c:v>1.0788601300280625</c:v>
                </c:pt>
                <c:pt idx="69">
                  <c:v>1.0854974192046571</c:v>
                </c:pt>
                <c:pt idx="70">
                  <c:v>1.0924622367494299</c:v>
                </c:pt>
                <c:pt idx="71">
                  <c:v>1.0942629045295795</c:v>
                </c:pt>
                <c:pt idx="72">
                  <c:v>1.0936412489518823</c:v>
                </c:pt>
                <c:pt idx="73">
                  <c:v>1.0933078256132809</c:v>
                </c:pt>
                <c:pt idx="74">
                  <c:v>1.0965476884501424</c:v>
                </c:pt>
                <c:pt idx="75">
                  <c:v>1.0875230473177508</c:v>
                </c:pt>
                <c:pt idx="76">
                  <c:v>1.0919792624055735</c:v>
                </c:pt>
                <c:pt idx="77">
                  <c:v>1.0940270826080634</c:v>
                </c:pt>
                <c:pt idx="78">
                  <c:v>1.1036073761428806</c:v>
                </c:pt>
                <c:pt idx="79">
                  <c:v>1.1165413796965036</c:v>
                </c:pt>
                <c:pt idx="80">
                  <c:v>1.1381084856757759</c:v>
                </c:pt>
                <c:pt idx="81">
                  <c:v>1.1392721242835677</c:v>
                </c:pt>
                <c:pt idx="82">
                  <c:v>1.1454959951794885</c:v>
                </c:pt>
                <c:pt idx="83">
                  <c:v>1.1438041460207899</c:v>
                </c:pt>
                <c:pt idx="84">
                  <c:v>1.1390273027388298</c:v>
                </c:pt>
                <c:pt idx="85">
                  <c:v>1.1398238680250339</c:v>
                </c:pt>
                <c:pt idx="86">
                  <c:v>1.1346292164074903</c:v>
                </c:pt>
                <c:pt idx="87">
                  <c:v>1.1251796137030481</c:v>
                </c:pt>
                <c:pt idx="88">
                  <c:v>1.1291982214784619</c:v>
                </c:pt>
                <c:pt idx="89">
                  <c:v>1.1235049861686637</c:v>
                </c:pt>
                <c:pt idx="90">
                  <c:v>1.1257445830661548</c:v>
                </c:pt>
                <c:pt idx="91">
                  <c:v>1.1244834998840716</c:v>
                </c:pt>
                <c:pt idx="92">
                  <c:v>1.122293883740862</c:v>
                </c:pt>
                <c:pt idx="93">
                  <c:v>1.1237475732517821</c:v>
                </c:pt>
                <c:pt idx="94">
                  <c:v>1.1190885423391803</c:v>
                </c:pt>
                <c:pt idx="95">
                  <c:v>1.120901176622449</c:v>
                </c:pt>
                <c:pt idx="96">
                  <c:v>1.1220692122076432</c:v>
                </c:pt>
                <c:pt idx="97">
                  <c:v>1.1274157602695289</c:v>
                </c:pt>
                <c:pt idx="98">
                  <c:v>1.120732388787673</c:v>
                </c:pt>
                <c:pt idx="99">
                  <c:v>1.1227802824227842</c:v>
                </c:pt>
                <c:pt idx="100">
                  <c:v>1.1335601531220756</c:v>
                </c:pt>
                <c:pt idx="101">
                  <c:v>1.1100046093043052</c:v>
                </c:pt>
                <c:pt idx="102">
                  <c:v>1.1177027687615879</c:v>
                </c:pt>
                <c:pt idx="103">
                  <c:v>1.11061478468953</c:v>
                </c:pt>
                <c:pt idx="104">
                  <c:v>1.0975885711050963</c:v>
                </c:pt>
                <c:pt idx="105">
                  <c:v>1.1047581989713138</c:v>
                </c:pt>
                <c:pt idx="106">
                  <c:v>1.1048378460568105</c:v>
                </c:pt>
                <c:pt idx="107">
                  <c:v>1.1032348906611509</c:v>
                </c:pt>
                <c:pt idx="108">
                  <c:v>1.1096494452869783</c:v>
                </c:pt>
                <c:pt idx="109">
                  <c:v>1.0980615476674709</c:v>
                </c:pt>
                <c:pt idx="110">
                  <c:v>1.1019038830276873</c:v>
                </c:pt>
                <c:pt idx="111">
                  <c:v>1.0955988283179252</c:v>
                </c:pt>
                <c:pt idx="112">
                  <c:v>1.1027459297427047</c:v>
                </c:pt>
                <c:pt idx="113">
                  <c:v>1.0963515009599065</c:v>
                </c:pt>
                <c:pt idx="114">
                  <c:v>1.0994654386800504</c:v>
                </c:pt>
                <c:pt idx="115">
                  <c:v>1.0977246668555414</c:v>
                </c:pt>
                <c:pt idx="116">
                  <c:v>1.0948599055629868</c:v>
                </c:pt>
                <c:pt idx="117">
                  <c:v>1.089055138885229</c:v>
                </c:pt>
                <c:pt idx="118">
                  <c:v>1.0727335072532167</c:v>
                </c:pt>
                <c:pt idx="119">
                  <c:v>1.0601471533543601</c:v>
                </c:pt>
                <c:pt idx="120">
                  <c:v>1.0574228809689288</c:v>
                </c:pt>
                <c:pt idx="121">
                  <c:v>1.0615544018931797</c:v>
                </c:pt>
                <c:pt idx="122">
                  <c:v>1.0652265541169383</c:v>
                </c:pt>
                <c:pt idx="123">
                  <c:v>1.0701115733614774</c:v>
                </c:pt>
                <c:pt idx="124">
                  <c:v>1.086130720624195</c:v>
                </c:pt>
                <c:pt idx="125">
                  <c:v>1.0926523406040669</c:v>
                </c:pt>
                <c:pt idx="126">
                  <c:v>1.0713698836960053</c:v>
                </c:pt>
                <c:pt idx="127">
                  <c:v>1.0716799610448926</c:v>
                </c:pt>
                <c:pt idx="128">
                  <c:v>1.0646977568491489</c:v>
                </c:pt>
                <c:pt idx="129">
                  <c:v>1.0694381183785968</c:v>
                </c:pt>
                <c:pt idx="130">
                  <c:v>1.0767090455275823</c:v>
                </c:pt>
                <c:pt idx="131">
                  <c:v>1.0932772206800994</c:v>
                </c:pt>
                <c:pt idx="132">
                  <c:v>1.1053978235033528</c:v>
                </c:pt>
                <c:pt idx="133">
                  <c:v>1.0924396609161762</c:v>
                </c:pt>
                <c:pt idx="134">
                  <c:v>1.0969751156335383</c:v>
                </c:pt>
                <c:pt idx="135">
                  <c:v>1.0911585021117918</c:v>
                </c:pt>
                <c:pt idx="136">
                  <c:v>1.0842745999888093</c:v>
                </c:pt>
                <c:pt idx="137">
                  <c:v>1.0967503230010278</c:v>
                </c:pt>
                <c:pt idx="138">
                  <c:v>1.0891846892776684</c:v>
                </c:pt>
                <c:pt idx="139">
                  <c:v>1.0999213349400734</c:v>
                </c:pt>
                <c:pt idx="140">
                  <c:v>1.1085467785469163</c:v>
                </c:pt>
                <c:pt idx="141">
                  <c:v>1.1113877544935753</c:v>
                </c:pt>
                <c:pt idx="142">
                  <c:v>1.113487753411182</c:v>
                </c:pt>
                <c:pt idx="143">
                  <c:v>1.0971423414018973</c:v>
                </c:pt>
                <c:pt idx="144">
                  <c:v>1.0872237409025085</c:v>
                </c:pt>
                <c:pt idx="145">
                  <c:v>1.089694447126955</c:v>
                </c:pt>
                <c:pt idx="146">
                  <c:v>1.1010109080755337</c:v>
                </c:pt>
                <c:pt idx="147">
                  <c:v>1.1018194360509002</c:v>
                </c:pt>
                <c:pt idx="148">
                  <c:v>1.0993955463969638</c:v>
                </c:pt>
                <c:pt idx="149">
                  <c:v>1.1005220876941344</c:v>
                </c:pt>
                <c:pt idx="150">
                  <c:v>1.1026537891940091</c:v>
                </c:pt>
                <c:pt idx="151">
                  <c:v>1.0979728093086747</c:v>
                </c:pt>
                <c:pt idx="152">
                  <c:v>1.1047254105501285</c:v>
                </c:pt>
                <c:pt idx="153">
                  <c:v>1.0900345058307579</c:v>
                </c:pt>
                <c:pt idx="154">
                  <c:v>1.0927303904692227</c:v>
                </c:pt>
                <c:pt idx="155">
                  <c:v>1.0900807242386406</c:v>
                </c:pt>
                <c:pt idx="156">
                  <c:v>1.0859581675711543</c:v>
                </c:pt>
                <c:pt idx="157">
                  <c:v>1.0779310924196042</c:v>
                </c:pt>
                <c:pt idx="158">
                  <c:v>1.0646351746880227</c:v>
                </c:pt>
                <c:pt idx="159">
                  <c:v>1.0612824795897722</c:v>
                </c:pt>
                <c:pt idx="160">
                  <c:v>1.0484117013323004</c:v>
                </c:pt>
                <c:pt idx="161">
                  <c:v>1.0333978525335001</c:v>
                </c:pt>
                <c:pt idx="162">
                  <c:v>1.0226190394398931</c:v>
                </c:pt>
                <c:pt idx="163">
                  <c:v>0.99235798060092284</c:v>
                </c:pt>
                <c:pt idx="164">
                  <c:v>0.98278356396118449</c:v>
                </c:pt>
                <c:pt idx="165">
                  <c:v>0.97910465186107221</c:v>
                </c:pt>
                <c:pt idx="166">
                  <c:v>0.98790937457474715</c:v>
                </c:pt>
                <c:pt idx="167">
                  <c:v>0.98081831352513038</c:v>
                </c:pt>
                <c:pt idx="168">
                  <c:v>0.96348636152772782</c:v>
                </c:pt>
                <c:pt idx="169">
                  <c:v>0.94265103149114493</c:v>
                </c:pt>
                <c:pt idx="170">
                  <c:v>0.937189248163805</c:v>
                </c:pt>
                <c:pt idx="171">
                  <c:v>0.95758262730550647</c:v>
                </c:pt>
                <c:pt idx="172">
                  <c:v>0.97590839230421556</c:v>
                </c:pt>
                <c:pt idx="173">
                  <c:v>0.99359482531458465</c:v>
                </c:pt>
                <c:pt idx="174">
                  <c:v>0.98759418940085886</c:v>
                </c:pt>
                <c:pt idx="175">
                  <c:v>0.98069421372217136</c:v>
                </c:pt>
                <c:pt idx="176">
                  <c:v>0.96264423774358343</c:v>
                </c:pt>
                <c:pt idx="177">
                  <c:v>0.96383413648895633</c:v>
                </c:pt>
                <c:pt idx="178">
                  <c:v>0.94673208826336575</c:v>
                </c:pt>
                <c:pt idx="179">
                  <c:v>0.94822251913237376</c:v>
                </c:pt>
                <c:pt idx="180">
                  <c:v>0.94709898914068491</c:v>
                </c:pt>
                <c:pt idx="181">
                  <c:v>0.95109931605714315</c:v>
                </c:pt>
                <c:pt idx="182">
                  <c:v>0.93710669892329479</c:v>
                </c:pt>
                <c:pt idx="183">
                  <c:v>0.9215259151301628</c:v>
                </c:pt>
                <c:pt idx="184">
                  <c:v>0.91980368684250879</c:v>
                </c:pt>
                <c:pt idx="185">
                  <c:v>0.97102472046694499</c:v>
                </c:pt>
                <c:pt idx="186">
                  <c:v>0.95419823766570966</c:v>
                </c:pt>
                <c:pt idx="187">
                  <c:v>0.95935305566384799</c:v>
                </c:pt>
                <c:pt idx="188">
                  <c:v>0.960012190557338</c:v>
                </c:pt>
                <c:pt idx="189">
                  <c:v>0.9600918185448617</c:v>
                </c:pt>
                <c:pt idx="190">
                  <c:v>0.982769133067942</c:v>
                </c:pt>
                <c:pt idx="191">
                  <c:v>0.9793141080345098</c:v>
                </c:pt>
                <c:pt idx="192">
                  <c:v>0.98630483554798731</c:v>
                </c:pt>
                <c:pt idx="193">
                  <c:v>0.97556555036531445</c:v>
                </c:pt>
                <c:pt idx="194">
                  <c:v>0.96808190815537343</c:v>
                </c:pt>
                <c:pt idx="195">
                  <c:v>0.96583154681981587</c:v>
                </c:pt>
                <c:pt idx="196">
                  <c:v>0.95780988936184885</c:v>
                </c:pt>
                <c:pt idx="197">
                  <c:v>0.96257165517513277</c:v>
                </c:pt>
                <c:pt idx="198">
                  <c:v>0.95376634734439869</c:v>
                </c:pt>
                <c:pt idx="199">
                  <c:v>0.95716366103711747</c:v>
                </c:pt>
                <c:pt idx="200">
                  <c:v>0.94735655889763748</c:v>
                </c:pt>
                <c:pt idx="201">
                  <c:v>0.94937977138781382</c:v>
                </c:pt>
                <c:pt idx="202">
                  <c:v>0.94942667331249853</c:v>
                </c:pt>
                <c:pt idx="203">
                  <c:v>0.95193948705737563</c:v>
                </c:pt>
                <c:pt idx="204">
                  <c:v>0.95537399872707951</c:v>
                </c:pt>
                <c:pt idx="205">
                  <c:v>0.95831882375673871</c:v>
                </c:pt>
                <c:pt idx="206">
                  <c:v>0.9439974149681698</c:v>
                </c:pt>
                <c:pt idx="207">
                  <c:v>0.93789532891295369</c:v>
                </c:pt>
                <c:pt idx="208">
                  <c:v>0.92962225980606061</c:v>
                </c:pt>
                <c:pt idx="209">
                  <c:v>0.92628131336488573</c:v>
                </c:pt>
                <c:pt idx="210">
                  <c:v>0.95171227769123679</c:v>
                </c:pt>
                <c:pt idx="211">
                  <c:v>0.95581675784879661</c:v>
                </c:pt>
                <c:pt idx="212">
                  <c:v>0.95449255816180212</c:v>
                </c:pt>
                <c:pt idx="213">
                  <c:v>0.96617571205984765</c:v>
                </c:pt>
                <c:pt idx="214">
                  <c:v>0.97677985689855884</c:v>
                </c:pt>
                <c:pt idx="215">
                  <c:v>0.96864268082436678</c:v>
                </c:pt>
                <c:pt idx="216">
                  <c:v>0.96927667340250911</c:v>
                </c:pt>
                <c:pt idx="217">
                  <c:v>0.97167878254646733</c:v>
                </c:pt>
                <c:pt idx="218">
                  <c:v>0.96632215748535477</c:v>
                </c:pt>
                <c:pt idx="219">
                  <c:v>0.97669309361830281</c:v>
                </c:pt>
                <c:pt idx="220">
                  <c:v>0.97559812909970889</c:v>
                </c:pt>
                <c:pt idx="221">
                  <c:v>0.9759161268404789</c:v>
                </c:pt>
                <c:pt idx="222">
                  <c:v>0.97308681075714465</c:v>
                </c:pt>
                <c:pt idx="223">
                  <c:v>0.97350113560749374</c:v>
                </c:pt>
                <c:pt idx="224">
                  <c:v>0.98149285300458289</c:v>
                </c:pt>
                <c:pt idx="225">
                  <c:v>0.9866672404699488</c:v>
                </c:pt>
                <c:pt idx="226">
                  <c:v>0.99528712555020094</c:v>
                </c:pt>
                <c:pt idx="227">
                  <c:v>0.99884976551891691</c:v>
                </c:pt>
                <c:pt idx="228">
                  <c:v>1.0015848479771015</c:v>
                </c:pt>
                <c:pt idx="229">
                  <c:v>1.0093629722407911</c:v>
                </c:pt>
                <c:pt idx="230">
                  <c:v>1.0005660227192119</c:v>
                </c:pt>
                <c:pt idx="231">
                  <c:v>0.9698879500170422</c:v>
                </c:pt>
                <c:pt idx="232">
                  <c:v>0.97027493591727809</c:v>
                </c:pt>
                <c:pt idx="233">
                  <c:v>0.94648024009681431</c:v>
                </c:pt>
                <c:pt idx="234">
                  <c:v>0.93840064326804495</c:v>
                </c:pt>
                <c:pt idx="235">
                  <c:v>0.93570051925316666</c:v>
                </c:pt>
                <c:pt idx="236">
                  <c:v>0.94696203693633729</c:v>
                </c:pt>
                <c:pt idx="237">
                  <c:v>0.96045996998629291</c:v>
                </c:pt>
                <c:pt idx="238">
                  <c:v>0.95921387978352224</c:v>
                </c:pt>
                <c:pt idx="239">
                  <c:v>0.94633446216556649</c:v>
                </c:pt>
                <c:pt idx="240">
                  <c:v>0.94729485881677422</c:v>
                </c:pt>
                <c:pt idx="241">
                  <c:v>0.96118396365147252</c:v>
                </c:pt>
                <c:pt idx="242">
                  <c:v>0.95703309852467711</c:v>
                </c:pt>
                <c:pt idx="243">
                  <c:v>0.9584240136210822</c:v>
                </c:pt>
                <c:pt idx="244">
                  <c:v>0.95798438279497311</c:v>
                </c:pt>
                <c:pt idx="245">
                  <c:v>0.94621639051755835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B-4C64-A86B-2957019B02AA}"/>
            </c:ext>
          </c:extLst>
        </c:ser>
        <c:ser>
          <c:idx val="1"/>
          <c:order val="1"/>
          <c:tx>
            <c:v>Risk Parity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PCA!$BC$5:$BC$250</c:f>
              <c:numCache>
                <c:formatCode>General</c:formatCode>
                <c:ptCount val="246"/>
                <c:pt idx="0">
                  <c:v>1</c:v>
                </c:pt>
                <c:pt idx="1">
                  <c:v>1.0096122272400734</c:v>
                </c:pt>
                <c:pt idx="2">
                  <c:v>1.009942260487581</c:v>
                </c:pt>
                <c:pt idx="3">
                  <c:v>1.0001919232712435</c:v>
                </c:pt>
                <c:pt idx="4">
                  <c:v>0.99165146723520259</c:v>
                </c:pt>
                <c:pt idx="5">
                  <c:v>0.99236289633585006</c:v>
                </c:pt>
                <c:pt idx="6">
                  <c:v>0.98022843951010719</c:v>
                </c:pt>
                <c:pt idx="7">
                  <c:v>0.97917332339373042</c:v>
                </c:pt>
                <c:pt idx="8">
                  <c:v>0.99023382800225868</c:v>
                </c:pt>
                <c:pt idx="9">
                  <c:v>0.99955202077374539</c:v>
                </c:pt>
                <c:pt idx="10">
                  <c:v>0.99776896120787817</c:v>
                </c:pt>
                <c:pt idx="11">
                  <c:v>1.0039043802132779</c:v>
                </c:pt>
                <c:pt idx="12">
                  <c:v>0.9980759619583075</c:v>
                </c:pt>
                <c:pt idx="13">
                  <c:v>0.99849033695556633</c:v>
                </c:pt>
                <c:pt idx="14">
                  <c:v>0.99205526072862815</c:v>
                </c:pt>
                <c:pt idx="15">
                  <c:v>0.99053532403137012</c:v>
                </c:pt>
                <c:pt idx="16">
                  <c:v>0.99462156489420384</c:v>
                </c:pt>
                <c:pt idx="17">
                  <c:v>0.98863585153947342</c:v>
                </c:pt>
                <c:pt idx="18">
                  <c:v>0.98394779765245843</c:v>
                </c:pt>
                <c:pt idx="19">
                  <c:v>0.98875060436200668</c:v>
                </c:pt>
                <c:pt idx="20">
                  <c:v>0.97207306319870801</c:v>
                </c:pt>
                <c:pt idx="21">
                  <c:v>0.97118325637478176</c:v>
                </c:pt>
                <c:pt idx="22">
                  <c:v>0.99420459916990389</c:v>
                </c:pt>
                <c:pt idx="23">
                  <c:v>1.0002432589117163</c:v>
                </c:pt>
                <c:pt idx="24">
                  <c:v>1.0096683134486388</c:v>
                </c:pt>
                <c:pt idx="25">
                  <c:v>1.0212600937071581</c:v>
                </c:pt>
                <c:pt idx="26">
                  <c:v>1.0176811522490319</c:v>
                </c:pt>
                <c:pt idx="27">
                  <c:v>1.0244717176941789</c:v>
                </c:pt>
                <c:pt idx="28">
                  <c:v>1.0165354556687487</c:v>
                </c:pt>
                <c:pt idx="29">
                  <c:v>1.0286347040894412</c:v>
                </c:pt>
                <c:pt idx="30">
                  <c:v>1.0314495449331742</c:v>
                </c:pt>
                <c:pt idx="31">
                  <c:v>1.0254739970822342</c:v>
                </c:pt>
                <c:pt idx="32">
                  <c:v>1.0324362794058262</c:v>
                </c:pt>
                <c:pt idx="33">
                  <c:v>1.0317286188799231</c:v>
                </c:pt>
                <c:pt idx="34">
                  <c:v>1.0285871832883824</c:v>
                </c:pt>
                <c:pt idx="35">
                  <c:v>1.0336948710776555</c:v>
                </c:pt>
                <c:pt idx="36">
                  <c:v>1.0409387336152165</c:v>
                </c:pt>
                <c:pt idx="37">
                  <c:v>1.0482244084729546</c:v>
                </c:pt>
                <c:pt idx="38">
                  <c:v>1.0415859556570932</c:v>
                </c:pt>
                <c:pt idx="39">
                  <c:v>1.0419975122465785</c:v>
                </c:pt>
                <c:pt idx="40">
                  <c:v>1.0466070226219704</c:v>
                </c:pt>
                <c:pt idx="41">
                  <c:v>1.0489034327906006</c:v>
                </c:pt>
                <c:pt idx="42">
                  <c:v>1.045451469162713</c:v>
                </c:pt>
                <c:pt idx="43">
                  <c:v>1.0447689863628953</c:v>
                </c:pt>
                <c:pt idx="44">
                  <c:v>1.0501058778015837</c:v>
                </c:pt>
                <c:pt idx="45">
                  <c:v>1.0574012001457125</c:v>
                </c:pt>
                <c:pt idx="46">
                  <c:v>1.0607452616348827</c:v>
                </c:pt>
                <c:pt idx="47">
                  <c:v>1.0703152299874987</c:v>
                </c:pt>
                <c:pt idx="48">
                  <c:v>1.0724246965005093</c:v>
                </c:pt>
                <c:pt idx="49">
                  <c:v>1.0609407126770116</c:v>
                </c:pt>
                <c:pt idx="50">
                  <c:v>1.0688624450862143</c:v>
                </c:pt>
                <c:pt idx="51">
                  <c:v>1.0684388535028435</c:v>
                </c:pt>
                <c:pt idx="52">
                  <c:v>1.076954884146436</c:v>
                </c:pt>
                <c:pt idx="53">
                  <c:v>1.0798106609676572</c:v>
                </c:pt>
                <c:pt idx="54">
                  <c:v>1.0851484094532255</c:v>
                </c:pt>
                <c:pt idx="55">
                  <c:v>1.0760316105932699</c:v>
                </c:pt>
                <c:pt idx="56">
                  <c:v>1.0731519831550236</c:v>
                </c:pt>
                <c:pt idx="57">
                  <c:v>1.0797146877565451</c:v>
                </c:pt>
                <c:pt idx="58">
                  <c:v>1.075061063743288</c:v>
                </c:pt>
                <c:pt idx="59">
                  <c:v>1.0742789823886938</c:v>
                </c:pt>
                <c:pt idx="60">
                  <c:v>1.0739548752957357</c:v>
                </c:pt>
                <c:pt idx="61">
                  <c:v>1.0659411576843043</c:v>
                </c:pt>
                <c:pt idx="62">
                  <c:v>1.0691108714938593</c:v>
                </c:pt>
                <c:pt idx="63">
                  <c:v>1.0698235060965073</c:v>
                </c:pt>
                <c:pt idx="64">
                  <c:v>1.0595814448092187</c:v>
                </c:pt>
                <c:pt idx="65">
                  <c:v>1.0628068829736768</c:v>
                </c:pt>
                <c:pt idx="66">
                  <c:v>1.0701585240450959</c:v>
                </c:pt>
                <c:pt idx="67">
                  <c:v>1.0675779699102474</c:v>
                </c:pt>
                <c:pt idx="68">
                  <c:v>1.0684062265018721</c:v>
                </c:pt>
                <c:pt idx="69">
                  <c:v>1.0743608460982801</c:v>
                </c:pt>
                <c:pt idx="70">
                  <c:v>1.0806690456322792</c:v>
                </c:pt>
                <c:pt idx="71">
                  <c:v>1.0812861580355131</c:v>
                </c:pt>
                <c:pt idx="72">
                  <c:v>1.0798408525843455</c:v>
                </c:pt>
                <c:pt idx="73">
                  <c:v>1.0796609663392307</c:v>
                </c:pt>
                <c:pt idx="74">
                  <c:v>1.0833731146354901</c:v>
                </c:pt>
                <c:pt idx="75">
                  <c:v>1.0744697925793256</c:v>
                </c:pt>
                <c:pt idx="76">
                  <c:v>1.0789202251933485</c:v>
                </c:pt>
                <c:pt idx="77">
                  <c:v>1.0795231575456561</c:v>
                </c:pt>
                <c:pt idx="78">
                  <c:v>1.0873207633533879</c:v>
                </c:pt>
                <c:pt idx="79">
                  <c:v>1.0992223197946558</c:v>
                </c:pt>
                <c:pt idx="80">
                  <c:v>1.1175191940026725</c:v>
                </c:pt>
                <c:pt idx="81">
                  <c:v>1.1183745504288318</c:v>
                </c:pt>
                <c:pt idx="82">
                  <c:v>1.124884057382618</c:v>
                </c:pt>
                <c:pt idx="83">
                  <c:v>1.1232383406799351</c:v>
                </c:pt>
                <c:pt idx="84">
                  <c:v>1.118901822846728</c:v>
                </c:pt>
                <c:pt idx="85">
                  <c:v>1.1200377577068237</c:v>
                </c:pt>
                <c:pt idx="86">
                  <c:v>1.1151377906604765</c:v>
                </c:pt>
                <c:pt idx="87">
                  <c:v>1.1071563377118814</c:v>
                </c:pt>
                <c:pt idx="88">
                  <c:v>1.1110149757928625</c:v>
                </c:pt>
                <c:pt idx="89">
                  <c:v>1.1059682889948197</c:v>
                </c:pt>
                <c:pt idx="90">
                  <c:v>1.1081489038968531</c:v>
                </c:pt>
                <c:pt idx="91">
                  <c:v>1.1067141562553313</c:v>
                </c:pt>
                <c:pt idx="92">
                  <c:v>1.1049857426016272</c:v>
                </c:pt>
                <c:pt idx="93">
                  <c:v>1.1069751264869601</c:v>
                </c:pt>
                <c:pt idx="94">
                  <c:v>1.1026898677428203</c:v>
                </c:pt>
                <c:pt idx="95">
                  <c:v>1.1039328725084885</c:v>
                </c:pt>
                <c:pt idx="96">
                  <c:v>1.1058531701620911</c:v>
                </c:pt>
                <c:pt idx="97">
                  <c:v>1.1114242577393088</c:v>
                </c:pt>
                <c:pt idx="98">
                  <c:v>1.1051098764718468</c:v>
                </c:pt>
                <c:pt idx="99">
                  <c:v>1.1071792435899259</c:v>
                </c:pt>
                <c:pt idx="100">
                  <c:v>1.1178697500330803</c:v>
                </c:pt>
                <c:pt idx="101">
                  <c:v>1.0963699161288658</c:v>
                </c:pt>
                <c:pt idx="102">
                  <c:v>1.1036860541670206</c:v>
                </c:pt>
                <c:pt idx="103">
                  <c:v>1.0966349371203732</c:v>
                </c:pt>
                <c:pt idx="104">
                  <c:v>1.0850924136143043</c:v>
                </c:pt>
                <c:pt idx="105">
                  <c:v>1.0921692626999771</c:v>
                </c:pt>
                <c:pt idx="106">
                  <c:v>1.093990079287444</c:v>
                </c:pt>
                <c:pt idx="107">
                  <c:v>1.0922705455698871</c:v>
                </c:pt>
                <c:pt idx="108">
                  <c:v>1.0964588834894085</c:v>
                </c:pt>
                <c:pt idx="109">
                  <c:v>1.086275485403029</c:v>
                </c:pt>
                <c:pt idx="110">
                  <c:v>1.0888317735721962</c:v>
                </c:pt>
                <c:pt idx="111">
                  <c:v>1.0832579217191634</c:v>
                </c:pt>
                <c:pt idx="112">
                  <c:v>1.0903191706237982</c:v>
                </c:pt>
                <c:pt idx="113">
                  <c:v>1.0853473161221299</c:v>
                </c:pt>
                <c:pt idx="114">
                  <c:v>1.0884250765760528</c:v>
                </c:pt>
                <c:pt idx="115">
                  <c:v>1.086781012551115</c:v>
                </c:pt>
                <c:pt idx="116">
                  <c:v>1.0827661120813286</c:v>
                </c:pt>
                <c:pt idx="117">
                  <c:v>1.0784029507774049</c:v>
                </c:pt>
                <c:pt idx="118">
                  <c:v>1.0632423112150042</c:v>
                </c:pt>
                <c:pt idx="119">
                  <c:v>1.0537280343828577</c:v>
                </c:pt>
                <c:pt idx="120">
                  <c:v>1.0504839357124633</c:v>
                </c:pt>
                <c:pt idx="121">
                  <c:v>1.054094516590715</c:v>
                </c:pt>
                <c:pt idx="122">
                  <c:v>1.0570401257079094</c:v>
                </c:pt>
                <c:pt idx="123">
                  <c:v>1.0619530517767337</c:v>
                </c:pt>
                <c:pt idx="124">
                  <c:v>1.0777335636034455</c:v>
                </c:pt>
                <c:pt idx="125">
                  <c:v>1.0835221208224388</c:v>
                </c:pt>
                <c:pt idx="126">
                  <c:v>1.0653962242616193</c:v>
                </c:pt>
                <c:pt idx="127">
                  <c:v>1.0657275061342568</c:v>
                </c:pt>
                <c:pt idx="128">
                  <c:v>1.0596386771842006</c:v>
                </c:pt>
                <c:pt idx="129">
                  <c:v>1.0636630038292296</c:v>
                </c:pt>
                <c:pt idx="130">
                  <c:v>1.0689577648832933</c:v>
                </c:pt>
                <c:pt idx="131">
                  <c:v>1.0848002218166735</c:v>
                </c:pt>
                <c:pt idx="132">
                  <c:v>1.0952216115905782</c:v>
                </c:pt>
                <c:pt idx="133">
                  <c:v>1.0822946432044211</c:v>
                </c:pt>
                <c:pt idx="134">
                  <c:v>1.0852741846488501</c:v>
                </c:pt>
                <c:pt idx="135">
                  <c:v>1.0801304292105378</c:v>
                </c:pt>
                <c:pt idx="136">
                  <c:v>1.0742411864194392</c:v>
                </c:pt>
                <c:pt idx="137">
                  <c:v>1.0861179738323692</c:v>
                </c:pt>
                <c:pt idx="138">
                  <c:v>1.0783205724030005</c:v>
                </c:pt>
                <c:pt idx="139">
                  <c:v>1.0895839455120597</c:v>
                </c:pt>
                <c:pt idx="140">
                  <c:v>1.0966046302237284</c:v>
                </c:pt>
                <c:pt idx="141">
                  <c:v>1.0997771795318456</c:v>
                </c:pt>
                <c:pt idx="142">
                  <c:v>1.101668954939897</c:v>
                </c:pt>
                <c:pt idx="143">
                  <c:v>1.0867582313427557</c:v>
                </c:pt>
                <c:pt idx="144">
                  <c:v>1.0782731943245478</c:v>
                </c:pt>
                <c:pt idx="145">
                  <c:v>1.0812857995759175</c:v>
                </c:pt>
                <c:pt idx="146">
                  <c:v>1.0915308102253631</c:v>
                </c:pt>
                <c:pt idx="147">
                  <c:v>1.0918274042406233</c:v>
                </c:pt>
                <c:pt idx="148">
                  <c:v>1.0896776587242827</c:v>
                </c:pt>
                <c:pt idx="149">
                  <c:v>1.0902032805565554</c:v>
                </c:pt>
                <c:pt idx="150">
                  <c:v>1.0921336224943876</c:v>
                </c:pt>
                <c:pt idx="151">
                  <c:v>1.0878931438436095</c:v>
                </c:pt>
                <c:pt idx="152">
                  <c:v>1.0950655149575308</c:v>
                </c:pt>
                <c:pt idx="153">
                  <c:v>1.0812307218992794</c:v>
                </c:pt>
                <c:pt idx="154">
                  <c:v>1.0842602545699604</c:v>
                </c:pt>
                <c:pt idx="155">
                  <c:v>1.0821342890215697</c:v>
                </c:pt>
                <c:pt idx="156">
                  <c:v>1.0787608870107031</c:v>
                </c:pt>
                <c:pt idx="157">
                  <c:v>1.0712201135268917</c:v>
                </c:pt>
                <c:pt idx="158">
                  <c:v>1.060489264815806</c:v>
                </c:pt>
                <c:pt idx="159">
                  <c:v>1.0575831917446941</c:v>
                </c:pt>
                <c:pt idx="160">
                  <c:v>1.0445045429874267</c:v>
                </c:pt>
                <c:pt idx="161">
                  <c:v>1.0306293880548318</c:v>
                </c:pt>
                <c:pt idx="162">
                  <c:v>1.0208605959773152</c:v>
                </c:pt>
                <c:pt idx="163">
                  <c:v>0.99338159448599006</c:v>
                </c:pt>
                <c:pt idx="164">
                  <c:v>0.98530650759393523</c:v>
                </c:pt>
                <c:pt idx="165">
                  <c:v>0.9840949444585787</c:v>
                </c:pt>
                <c:pt idx="166">
                  <c:v>0.99176873111068053</c:v>
                </c:pt>
                <c:pt idx="167">
                  <c:v>0.9860037260769674</c:v>
                </c:pt>
                <c:pt idx="168">
                  <c:v>0.97048993891392643</c:v>
                </c:pt>
                <c:pt idx="169">
                  <c:v>0.94946483801165704</c:v>
                </c:pt>
                <c:pt idx="170">
                  <c:v>0.94277690704672512</c:v>
                </c:pt>
                <c:pt idx="171">
                  <c:v>0.95881689700034278</c:v>
                </c:pt>
                <c:pt idx="172">
                  <c:v>0.97451271842794585</c:v>
                </c:pt>
                <c:pt idx="173">
                  <c:v>0.99226164287300556</c:v>
                </c:pt>
                <c:pt idx="174">
                  <c:v>0.98749484315834646</c:v>
                </c:pt>
                <c:pt idx="175">
                  <c:v>0.97963716789138366</c:v>
                </c:pt>
                <c:pt idx="176">
                  <c:v>0.96264369116974224</c:v>
                </c:pt>
                <c:pt idx="177">
                  <c:v>0.96422747241195206</c:v>
                </c:pt>
                <c:pt idx="178">
                  <c:v>0.94726748285268092</c:v>
                </c:pt>
                <c:pt idx="179">
                  <c:v>0.94854298448401719</c:v>
                </c:pt>
                <c:pt idx="180">
                  <c:v>0.946864193362981</c:v>
                </c:pt>
                <c:pt idx="181">
                  <c:v>0.9515340824257208</c:v>
                </c:pt>
                <c:pt idx="182">
                  <c:v>0.93740747647308276</c:v>
                </c:pt>
                <c:pt idx="183">
                  <c:v>0.92212462964126651</c:v>
                </c:pt>
                <c:pt idx="184">
                  <c:v>0.92062770405065986</c:v>
                </c:pt>
                <c:pt idx="185">
                  <c:v>0.96671156391237867</c:v>
                </c:pt>
                <c:pt idx="186">
                  <c:v>0.95200553464710713</c:v>
                </c:pt>
                <c:pt idx="187">
                  <c:v>0.95737424853179753</c:v>
                </c:pt>
                <c:pt idx="188">
                  <c:v>0.95939335948020088</c:v>
                </c:pt>
                <c:pt idx="189">
                  <c:v>0.95945271470680094</c:v>
                </c:pt>
                <c:pt idx="190">
                  <c:v>0.97997814768789016</c:v>
                </c:pt>
                <c:pt idx="191">
                  <c:v>0.97719472578834754</c:v>
                </c:pt>
                <c:pt idx="192">
                  <c:v>0.98476151127036626</c:v>
                </c:pt>
                <c:pt idx="193">
                  <c:v>0.97516508688460168</c:v>
                </c:pt>
                <c:pt idx="194">
                  <c:v>0.96738990041873174</c:v>
                </c:pt>
                <c:pt idx="195">
                  <c:v>0.96573883939693339</c:v>
                </c:pt>
                <c:pt idx="196">
                  <c:v>0.9578412568657303</c:v>
                </c:pt>
                <c:pt idx="197">
                  <c:v>0.96311258274833245</c:v>
                </c:pt>
                <c:pt idx="198">
                  <c:v>0.9545855135698964</c:v>
                </c:pt>
                <c:pt idx="199">
                  <c:v>0.95836427554722103</c:v>
                </c:pt>
                <c:pt idx="200">
                  <c:v>0.94915193920553442</c:v>
                </c:pt>
                <c:pt idx="201">
                  <c:v>0.95059043606617866</c:v>
                </c:pt>
                <c:pt idx="202">
                  <c:v>0.95041980508235135</c:v>
                </c:pt>
                <c:pt idx="203">
                  <c:v>0.9533441825975929</c:v>
                </c:pt>
                <c:pt idx="204">
                  <c:v>0.95511786298894741</c:v>
                </c:pt>
                <c:pt idx="205">
                  <c:v>0.95840871204056521</c:v>
                </c:pt>
                <c:pt idx="206">
                  <c:v>0.94463264877774977</c:v>
                </c:pt>
                <c:pt idx="207">
                  <c:v>0.93940576649593832</c:v>
                </c:pt>
                <c:pt idx="208">
                  <c:v>0.93137129531256579</c:v>
                </c:pt>
                <c:pt idx="209">
                  <c:v>0.92863967004016179</c:v>
                </c:pt>
                <c:pt idx="210">
                  <c:v>0.95308254413383642</c:v>
                </c:pt>
                <c:pt idx="211">
                  <c:v>0.95752356144980022</c:v>
                </c:pt>
                <c:pt idx="212">
                  <c:v>0.9564828525494542</c:v>
                </c:pt>
                <c:pt idx="213">
                  <c:v>0.96583882953268474</c:v>
                </c:pt>
                <c:pt idx="214">
                  <c:v>0.97471820330379499</c:v>
                </c:pt>
                <c:pt idx="215">
                  <c:v>0.96733213342974922</c:v>
                </c:pt>
                <c:pt idx="216">
                  <c:v>0.96857489009573616</c:v>
                </c:pt>
                <c:pt idx="217">
                  <c:v>0.97109756478481146</c:v>
                </c:pt>
                <c:pt idx="218">
                  <c:v>0.9653610993466889</c:v>
                </c:pt>
                <c:pt idx="219">
                  <c:v>0.97543500750800316</c:v>
                </c:pt>
                <c:pt idx="220">
                  <c:v>0.9745685194410606</c:v>
                </c:pt>
                <c:pt idx="221">
                  <c:v>0.97485665138155819</c:v>
                </c:pt>
                <c:pt idx="222">
                  <c:v>0.97179475505275015</c:v>
                </c:pt>
                <c:pt idx="223">
                  <c:v>0.97225348107121634</c:v>
                </c:pt>
                <c:pt idx="224">
                  <c:v>0.97868930280034905</c:v>
                </c:pt>
                <c:pt idx="225">
                  <c:v>0.9844832906097335</c:v>
                </c:pt>
                <c:pt idx="226">
                  <c:v>0.99291542047003012</c:v>
                </c:pt>
                <c:pt idx="227">
                  <c:v>0.99530852650519186</c:v>
                </c:pt>
                <c:pt idx="228">
                  <c:v>0.99720353981398591</c:v>
                </c:pt>
                <c:pt idx="229">
                  <c:v>1.0045393954246442</c:v>
                </c:pt>
                <c:pt idx="230">
                  <c:v>0.99682743834272847</c:v>
                </c:pt>
                <c:pt idx="231">
                  <c:v>0.96970126517392785</c:v>
                </c:pt>
                <c:pt idx="232">
                  <c:v>0.97050155030930618</c:v>
                </c:pt>
                <c:pt idx="233">
                  <c:v>0.94834317961892844</c:v>
                </c:pt>
                <c:pt idx="234">
                  <c:v>0.94139603595990518</c:v>
                </c:pt>
                <c:pt idx="235">
                  <c:v>0.93827964272131947</c:v>
                </c:pt>
                <c:pt idx="236">
                  <c:v>0.94900703740073344</c:v>
                </c:pt>
                <c:pt idx="237">
                  <c:v>0.96173662454630549</c:v>
                </c:pt>
                <c:pt idx="238">
                  <c:v>0.96033284868317936</c:v>
                </c:pt>
                <c:pt idx="239">
                  <c:v>0.94863109653869715</c:v>
                </c:pt>
                <c:pt idx="240">
                  <c:v>0.94944583092359369</c:v>
                </c:pt>
                <c:pt idx="241">
                  <c:v>0.96241102702762804</c:v>
                </c:pt>
                <c:pt idx="242">
                  <c:v>0.95795034541871749</c:v>
                </c:pt>
                <c:pt idx="243">
                  <c:v>0.95901908389170054</c:v>
                </c:pt>
                <c:pt idx="244">
                  <c:v>0.95922871693701384</c:v>
                </c:pt>
                <c:pt idx="245">
                  <c:v>0.94746430328665265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2B-4C64-A86B-2957019B02AA}"/>
            </c:ext>
          </c:extLst>
        </c:ser>
        <c:ser>
          <c:idx val="2"/>
          <c:order val="2"/>
          <c:tx>
            <c:v>Equal weight portfolio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PCA!$BD$5:$BD$250</c:f>
              <c:numCache>
                <c:formatCode>General</c:formatCode>
                <c:ptCount val="246"/>
                <c:pt idx="0">
                  <c:v>0.8737650937356819</c:v>
                </c:pt>
                <c:pt idx="1">
                  <c:v>0.87518818054340963</c:v>
                </c:pt>
                <c:pt idx="2">
                  <c:v>0.87635007838987233</c:v>
                </c:pt>
                <c:pt idx="3">
                  <c:v>0.87852817646147585</c:v>
                </c:pt>
                <c:pt idx="4">
                  <c:v>0.87896536409631332</c:v>
                </c:pt>
                <c:pt idx="5">
                  <c:v>0.88648304814152912</c:v>
                </c:pt>
                <c:pt idx="6">
                  <c:v>0.87861885989755539</c:v>
                </c:pt>
                <c:pt idx="7">
                  <c:v>0.87862170679006979</c:v>
                </c:pt>
                <c:pt idx="8">
                  <c:v>0.88659147044099507</c:v>
                </c:pt>
                <c:pt idx="9">
                  <c:v>0.89045112446502661</c:v>
                </c:pt>
                <c:pt idx="10">
                  <c:v>0.89393397650963835</c:v>
                </c:pt>
                <c:pt idx="11">
                  <c:v>0.90346745894567215</c:v>
                </c:pt>
                <c:pt idx="12">
                  <c:v>0.89704711073591858</c:v>
                </c:pt>
                <c:pt idx="13">
                  <c:v>0.8944597448288536</c:v>
                </c:pt>
                <c:pt idx="14">
                  <c:v>0.89359589939719974</c:v>
                </c:pt>
                <c:pt idx="15">
                  <c:v>0.89113955117307209</c:v>
                </c:pt>
                <c:pt idx="16">
                  <c:v>0.89971535922317247</c:v>
                </c:pt>
                <c:pt idx="17">
                  <c:v>0.89522861765875628</c:v>
                </c:pt>
                <c:pt idx="18">
                  <c:v>0.89140314950230082</c:v>
                </c:pt>
                <c:pt idx="19">
                  <c:v>0.89204104482118618</c:v>
                </c:pt>
                <c:pt idx="20">
                  <c:v>0.88252866684566322</c:v>
                </c:pt>
                <c:pt idx="21">
                  <c:v>0.88324984392816142</c:v>
                </c:pt>
                <c:pt idx="22">
                  <c:v>0.90019139264542514</c:v>
                </c:pt>
                <c:pt idx="23">
                  <c:v>0.90208427571790761</c:v>
                </c:pt>
                <c:pt idx="24">
                  <c:v>0.9095776483778869</c:v>
                </c:pt>
                <c:pt idx="25">
                  <c:v>0.91665016140804934</c:v>
                </c:pt>
                <c:pt idx="26">
                  <c:v>0.90841611393585864</c:v>
                </c:pt>
                <c:pt idx="27">
                  <c:v>0.91306800489843787</c:v>
                </c:pt>
                <c:pt idx="28">
                  <c:v>0.90757796942567881</c:v>
                </c:pt>
                <c:pt idx="29">
                  <c:v>0.9145212273475829</c:v>
                </c:pt>
                <c:pt idx="30">
                  <c:v>0.91481992153014369</c:v>
                </c:pt>
                <c:pt idx="31">
                  <c:v>0.90907823667166965</c:v>
                </c:pt>
                <c:pt idx="32">
                  <c:v>0.91177661602300686</c:v>
                </c:pt>
                <c:pt idx="33">
                  <c:v>0.9123665148369664</c:v>
                </c:pt>
                <c:pt idx="34">
                  <c:v>0.90998289444180058</c:v>
                </c:pt>
                <c:pt idx="35">
                  <c:v>0.91429481500092147</c:v>
                </c:pt>
                <c:pt idx="36">
                  <c:v>0.91656572262273539</c:v>
                </c:pt>
                <c:pt idx="37">
                  <c:v>0.91737189802677699</c:v>
                </c:pt>
                <c:pt idx="38">
                  <c:v>0.91383505112466501</c:v>
                </c:pt>
                <c:pt idx="39">
                  <c:v>0.9102272077482717</c:v>
                </c:pt>
                <c:pt idx="40">
                  <c:v>0.91220292691788574</c:v>
                </c:pt>
                <c:pt idx="41">
                  <c:v>0.90779401714006436</c:v>
                </c:pt>
                <c:pt idx="42">
                  <c:v>0.90751570901682865</c:v>
                </c:pt>
                <c:pt idx="43">
                  <c:v>0.90574269718078582</c:v>
                </c:pt>
                <c:pt idx="44">
                  <c:v>0.91478050060099669</c:v>
                </c:pt>
                <c:pt idx="45">
                  <c:v>0.92261498899752004</c:v>
                </c:pt>
                <c:pt idx="46">
                  <c:v>0.92725584019673579</c:v>
                </c:pt>
                <c:pt idx="47">
                  <c:v>0.93303236967642933</c:v>
                </c:pt>
                <c:pt idx="48">
                  <c:v>0.93444596386528023</c:v>
                </c:pt>
                <c:pt idx="49">
                  <c:v>0.92832918554669985</c:v>
                </c:pt>
                <c:pt idx="50">
                  <c:v>0.9314995675343869</c:v>
                </c:pt>
                <c:pt idx="51">
                  <c:v>0.93466318552154715</c:v>
                </c:pt>
                <c:pt idx="52">
                  <c:v>0.94200247540847593</c:v>
                </c:pt>
                <c:pt idx="53">
                  <c:v>0.94585979436531997</c:v>
                </c:pt>
                <c:pt idx="54">
                  <c:v>0.9543916850681653</c:v>
                </c:pt>
                <c:pt idx="55">
                  <c:v>0.94117456983930758</c:v>
                </c:pt>
                <c:pt idx="56">
                  <c:v>0.9418329815665214</c:v>
                </c:pt>
                <c:pt idx="57">
                  <c:v>0.95016514952638786</c:v>
                </c:pt>
                <c:pt idx="58">
                  <c:v>0.94906326591882395</c:v>
                </c:pt>
                <c:pt idx="59">
                  <c:v>0.94688130548476301</c:v>
                </c:pt>
                <c:pt idx="60">
                  <c:v>0.94600615441674007</c:v>
                </c:pt>
                <c:pt idx="61">
                  <c:v>0.93964761660763618</c:v>
                </c:pt>
                <c:pt idx="62">
                  <c:v>0.93879069585258101</c:v>
                </c:pt>
                <c:pt idx="63">
                  <c:v>0.94192039981367026</c:v>
                </c:pt>
                <c:pt idx="64">
                  <c:v>0.93477239288787439</c:v>
                </c:pt>
                <c:pt idx="65">
                  <c:v>0.94150547732283618</c:v>
                </c:pt>
                <c:pt idx="66">
                  <c:v>0.94676150499873191</c:v>
                </c:pt>
                <c:pt idx="67">
                  <c:v>0.94370155955587121</c:v>
                </c:pt>
                <c:pt idx="68">
                  <c:v>0.94416141071712056</c:v>
                </c:pt>
                <c:pt idx="69">
                  <c:v>0.94603873676046191</c:v>
                </c:pt>
                <c:pt idx="70">
                  <c:v>0.94971396756136761</c:v>
                </c:pt>
                <c:pt idx="71">
                  <c:v>0.94259422915207924</c:v>
                </c:pt>
                <c:pt idx="72">
                  <c:v>0.93574287035075976</c:v>
                </c:pt>
                <c:pt idx="73">
                  <c:v>0.93633908878775329</c:v>
                </c:pt>
                <c:pt idx="74">
                  <c:v>0.94040570281836766</c:v>
                </c:pt>
                <c:pt idx="75">
                  <c:v>0.93597918992194351</c:v>
                </c:pt>
                <c:pt idx="76">
                  <c:v>0.94008309396089107</c:v>
                </c:pt>
                <c:pt idx="77">
                  <c:v>0.9391148244317018</c:v>
                </c:pt>
                <c:pt idx="78">
                  <c:v>0.94363293691818229</c:v>
                </c:pt>
                <c:pt idx="79">
                  <c:v>0.95401929172543543</c:v>
                </c:pt>
                <c:pt idx="80">
                  <c:v>0.96445003119247175</c:v>
                </c:pt>
                <c:pt idx="81">
                  <c:v>0.9616101308780971</c:v>
                </c:pt>
                <c:pt idx="82">
                  <c:v>0.96524192116595287</c:v>
                </c:pt>
                <c:pt idx="83">
                  <c:v>0.96139025495390906</c:v>
                </c:pt>
                <c:pt idx="84">
                  <c:v>0.95876601021829</c:v>
                </c:pt>
                <c:pt idx="85">
                  <c:v>0.95746516890767575</c:v>
                </c:pt>
                <c:pt idx="86">
                  <c:v>0.95413307506734157</c:v>
                </c:pt>
                <c:pt idx="87">
                  <c:v>0.94931940259539171</c:v>
                </c:pt>
                <c:pt idx="88">
                  <c:v>0.95140038224250634</c:v>
                </c:pt>
                <c:pt idx="89">
                  <c:v>0.94618918685608333</c:v>
                </c:pt>
                <c:pt idx="90">
                  <c:v>0.94472371886393869</c:v>
                </c:pt>
                <c:pt idx="91">
                  <c:v>0.94207414108657761</c:v>
                </c:pt>
                <c:pt idx="92">
                  <c:v>0.94159237505305715</c:v>
                </c:pt>
                <c:pt idx="93">
                  <c:v>0.94340763224707413</c:v>
                </c:pt>
                <c:pt idx="94">
                  <c:v>0.94263113055015746</c:v>
                </c:pt>
                <c:pt idx="95">
                  <c:v>0.94328539207767992</c:v>
                </c:pt>
                <c:pt idx="96">
                  <c:v>0.94720708574291779</c:v>
                </c:pt>
                <c:pt idx="97">
                  <c:v>0.95345501601381055</c:v>
                </c:pt>
                <c:pt idx="98">
                  <c:v>0.94515361553632427</c:v>
                </c:pt>
                <c:pt idx="99">
                  <c:v>0.94655536833321607</c:v>
                </c:pt>
                <c:pt idx="100">
                  <c:v>0.95135083651555441</c:v>
                </c:pt>
                <c:pt idx="101">
                  <c:v>0.94069437285645263</c:v>
                </c:pt>
                <c:pt idx="102">
                  <c:v>0.94693648656861062</c:v>
                </c:pt>
                <c:pt idx="103">
                  <c:v>0.94332247959257753</c:v>
                </c:pt>
                <c:pt idx="104">
                  <c:v>0.93977211183347387</c:v>
                </c:pt>
                <c:pt idx="105">
                  <c:v>0.94609252935135701</c:v>
                </c:pt>
                <c:pt idx="106">
                  <c:v>0.95762284055264324</c:v>
                </c:pt>
                <c:pt idx="107">
                  <c:v>0.95192762420754051</c:v>
                </c:pt>
                <c:pt idx="108">
                  <c:v>0.95392634989994374</c:v>
                </c:pt>
                <c:pt idx="109">
                  <c:v>0.95032719679243416</c:v>
                </c:pt>
                <c:pt idx="110">
                  <c:v>0.94953225029991351</c:v>
                </c:pt>
                <c:pt idx="111">
                  <c:v>0.94773760205913604</c:v>
                </c:pt>
                <c:pt idx="112">
                  <c:v>0.95554377910378918</c:v>
                </c:pt>
                <c:pt idx="113">
                  <c:v>0.95578387862923397</c:v>
                </c:pt>
                <c:pt idx="114">
                  <c:v>0.95979329599124252</c:v>
                </c:pt>
                <c:pt idx="115">
                  <c:v>0.9592086982154594</c:v>
                </c:pt>
                <c:pt idx="116">
                  <c:v>0.94773555505300155</c:v>
                </c:pt>
                <c:pt idx="117">
                  <c:v>0.95096192998952722</c:v>
                </c:pt>
                <c:pt idx="118">
                  <c:v>0.93641853189226121</c:v>
                </c:pt>
                <c:pt idx="119">
                  <c:v>0.93473401362602437</c:v>
                </c:pt>
                <c:pt idx="120">
                  <c:v>0.9322172927193344</c:v>
                </c:pt>
                <c:pt idx="121">
                  <c:v>0.93226149276213233</c:v>
                </c:pt>
                <c:pt idx="122">
                  <c:v>0.93052604764211466</c:v>
                </c:pt>
                <c:pt idx="123">
                  <c:v>0.93686963576461446</c:v>
                </c:pt>
                <c:pt idx="124">
                  <c:v>0.9495902727592076</c:v>
                </c:pt>
                <c:pt idx="125">
                  <c:v>0.95396350449763612</c:v>
                </c:pt>
                <c:pt idx="126">
                  <c:v>0.94502414862788586</c:v>
                </c:pt>
                <c:pt idx="127">
                  <c:v>0.94849087817732369</c:v>
                </c:pt>
                <c:pt idx="128">
                  <c:v>0.94865727949944156</c:v>
                </c:pt>
                <c:pt idx="129">
                  <c:v>0.95084432723824364</c:v>
                </c:pt>
                <c:pt idx="130">
                  <c:v>0.95164313243404752</c:v>
                </c:pt>
                <c:pt idx="131">
                  <c:v>0.9615069363262484</c:v>
                </c:pt>
                <c:pt idx="132">
                  <c:v>0.97013534879000518</c:v>
                </c:pt>
                <c:pt idx="133">
                  <c:v>0.95694928066796803</c:v>
                </c:pt>
                <c:pt idx="134">
                  <c:v>0.95748963500279738</c:v>
                </c:pt>
                <c:pt idx="135">
                  <c:v>0.95512536375379464</c:v>
                </c:pt>
                <c:pt idx="136">
                  <c:v>0.94946530909650606</c:v>
                </c:pt>
                <c:pt idx="137">
                  <c:v>0.95675780502048946</c:v>
                </c:pt>
                <c:pt idx="138">
                  <c:v>0.94816605570972001</c:v>
                </c:pt>
                <c:pt idx="139">
                  <c:v>0.96313405265496987</c:v>
                </c:pt>
                <c:pt idx="140">
                  <c:v>0.966299985144214</c:v>
                </c:pt>
                <c:pt idx="141">
                  <c:v>0.97105459484622425</c:v>
                </c:pt>
                <c:pt idx="142">
                  <c:v>0.97285269131871643</c:v>
                </c:pt>
                <c:pt idx="143">
                  <c:v>0.96262320350751318</c:v>
                </c:pt>
                <c:pt idx="144">
                  <c:v>0.95732349016361817</c:v>
                </c:pt>
                <c:pt idx="145">
                  <c:v>0.9629433692165722</c:v>
                </c:pt>
                <c:pt idx="146">
                  <c:v>0.97156558511121915</c:v>
                </c:pt>
                <c:pt idx="147">
                  <c:v>0.97005912228318614</c:v>
                </c:pt>
                <c:pt idx="148">
                  <c:v>0.97014579467290996</c:v>
                </c:pt>
                <c:pt idx="149">
                  <c:v>0.968643284167782</c:v>
                </c:pt>
                <c:pt idx="150">
                  <c:v>0.97035649899170817</c:v>
                </c:pt>
                <c:pt idx="151">
                  <c:v>0.9671144034843302</c:v>
                </c:pt>
                <c:pt idx="152">
                  <c:v>0.97632141576562415</c:v>
                </c:pt>
                <c:pt idx="153">
                  <c:v>0.96264282799197431</c:v>
                </c:pt>
                <c:pt idx="154">
                  <c:v>0.96617674253198726</c:v>
                </c:pt>
                <c:pt idx="155">
                  <c:v>0.96351495724337832</c:v>
                </c:pt>
                <c:pt idx="156">
                  <c:v>0.96083459993841558</c:v>
                </c:pt>
                <c:pt idx="157">
                  <c:v>0.95393264751510298</c:v>
                </c:pt>
                <c:pt idx="158">
                  <c:v>0.95261958588963791</c:v>
                </c:pt>
                <c:pt idx="159">
                  <c:v>0.95120179636003654</c:v>
                </c:pt>
                <c:pt idx="160">
                  <c:v>0.94010712590481971</c:v>
                </c:pt>
                <c:pt idx="161">
                  <c:v>0.92959528589506568</c:v>
                </c:pt>
                <c:pt idx="162">
                  <c:v>0.92640919273563171</c:v>
                </c:pt>
                <c:pt idx="163">
                  <c:v>0.90944742692938962</c:v>
                </c:pt>
                <c:pt idx="164">
                  <c:v>0.90563861516414335</c:v>
                </c:pt>
                <c:pt idx="165">
                  <c:v>0.91412258860281004</c:v>
                </c:pt>
                <c:pt idx="166">
                  <c:v>0.91761942563266097</c:v>
                </c:pt>
                <c:pt idx="167">
                  <c:v>0.91953547452680173</c:v>
                </c:pt>
                <c:pt idx="168">
                  <c:v>0.9140187412266485</c:v>
                </c:pt>
                <c:pt idx="169">
                  <c:v>0.89524110010918012</c:v>
                </c:pt>
                <c:pt idx="170">
                  <c:v>0.87746208851273177</c:v>
                </c:pt>
                <c:pt idx="171">
                  <c:v>0.88931399620351081</c:v>
                </c:pt>
                <c:pt idx="172">
                  <c:v>0.90490032000068532</c:v>
                </c:pt>
                <c:pt idx="173">
                  <c:v>0.91651108701074602</c:v>
                </c:pt>
                <c:pt idx="174">
                  <c:v>0.91749037241838949</c:v>
                </c:pt>
                <c:pt idx="175">
                  <c:v>0.90373900231266058</c:v>
                </c:pt>
                <c:pt idx="176">
                  <c:v>0.88976813829647372</c:v>
                </c:pt>
                <c:pt idx="177">
                  <c:v>0.89423500770070263</c:v>
                </c:pt>
                <c:pt idx="178">
                  <c:v>0.87569114314731678</c:v>
                </c:pt>
                <c:pt idx="179">
                  <c:v>0.87683310131542913</c:v>
                </c:pt>
                <c:pt idx="180">
                  <c:v>0.87538118235961682</c:v>
                </c:pt>
                <c:pt idx="181">
                  <c:v>0.88291559787687068</c:v>
                </c:pt>
                <c:pt idx="182">
                  <c:v>0.86424021831267128</c:v>
                </c:pt>
                <c:pt idx="183">
                  <c:v>0.84783972744916081</c:v>
                </c:pt>
                <c:pt idx="184">
                  <c:v>0.84741978913468607</c:v>
                </c:pt>
                <c:pt idx="185">
                  <c:v>0.87935115168574329</c:v>
                </c:pt>
                <c:pt idx="186">
                  <c:v>0.87037126835811696</c:v>
                </c:pt>
                <c:pt idx="187">
                  <c:v>0.87372816698846323</c:v>
                </c:pt>
                <c:pt idx="188">
                  <c:v>0.87826625175491835</c:v>
                </c:pt>
                <c:pt idx="189">
                  <c:v>0.87423953339846205</c:v>
                </c:pt>
                <c:pt idx="190">
                  <c:v>0.88054999296074987</c:v>
                </c:pt>
                <c:pt idx="191">
                  <c:v>0.88236720999176954</c:v>
                </c:pt>
                <c:pt idx="192">
                  <c:v>0.89144279216224254</c:v>
                </c:pt>
                <c:pt idx="193">
                  <c:v>0.88431712513290128</c:v>
                </c:pt>
                <c:pt idx="194">
                  <c:v>0.87839644216565027</c:v>
                </c:pt>
                <c:pt idx="195">
                  <c:v>0.87859556516798354</c:v>
                </c:pt>
                <c:pt idx="196">
                  <c:v>0.87294831636467951</c:v>
                </c:pt>
                <c:pt idx="197">
                  <c:v>0.88108083009790228</c:v>
                </c:pt>
                <c:pt idx="198">
                  <c:v>0.8747805490326841</c:v>
                </c:pt>
                <c:pt idx="199">
                  <c:v>0.87947494056164544</c:v>
                </c:pt>
                <c:pt idx="200">
                  <c:v>0.87387271834977165</c:v>
                </c:pt>
                <c:pt idx="201">
                  <c:v>0.87262983342474643</c:v>
                </c:pt>
                <c:pt idx="202">
                  <c:v>0.87042364422003382</c:v>
                </c:pt>
                <c:pt idx="203">
                  <c:v>0.87330874423374838</c:v>
                </c:pt>
                <c:pt idx="204">
                  <c:v>0.87491577592987591</c:v>
                </c:pt>
                <c:pt idx="205">
                  <c:v>0.88456336295331339</c:v>
                </c:pt>
                <c:pt idx="206">
                  <c:v>0.87254999281005685</c:v>
                </c:pt>
                <c:pt idx="207">
                  <c:v>0.86729569742879287</c:v>
                </c:pt>
                <c:pt idx="208">
                  <c:v>0.86239563327947666</c:v>
                </c:pt>
                <c:pt idx="209">
                  <c:v>0.86424938068141044</c:v>
                </c:pt>
                <c:pt idx="210">
                  <c:v>0.88345682528775948</c:v>
                </c:pt>
                <c:pt idx="211">
                  <c:v>0.8837934708838816</c:v>
                </c:pt>
                <c:pt idx="212">
                  <c:v>0.88365236339510977</c:v>
                </c:pt>
                <c:pt idx="213">
                  <c:v>0.88900182958683327</c:v>
                </c:pt>
                <c:pt idx="214">
                  <c:v>0.89125422057609771</c:v>
                </c:pt>
                <c:pt idx="215">
                  <c:v>0.88487922051518153</c:v>
                </c:pt>
                <c:pt idx="216">
                  <c:v>0.88642812061117726</c:v>
                </c:pt>
                <c:pt idx="217">
                  <c:v>0.88851763959125474</c:v>
                </c:pt>
                <c:pt idx="218">
                  <c:v>0.88096514860770481</c:v>
                </c:pt>
                <c:pt idx="219">
                  <c:v>0.88867304342057152</c:v>
                </c:pt>
                <c:pt idx="220">
                  <c:v>0.89143155542978703</c:v>
                </c:pt>
                <c:pt idx="221">
                  <c:v>0.89750238373759827</c:v>
                </c:pt>
                <c:pt idx="222">
                  <c:v>0.89875796139771036</c:v>
                </c:pt>
                <c:pt idx="223">
                  <c:v>0.90152241700085922</c:v>
                </c:pt>
                <c:pt idx="224">
                  <c:v>0.90202320564433014</c:v>
                </c:pt>
                <c:pt idx="225">
                  <c:v>0.91000273751937311</c:v>
                </c:pt>
                <c:pt idx="226">
                  <c:v>0.91668984568957068</c:v>
                </c:pt>
                <c:pt idx="227">
                  <c:v>0.91628137186475711</c:v>
                </c:pt>
                <c:pt idx="228">
                  <c:v>0.91494790025390282</c:v>
                </c:pt>
                <c:pt idx="229">
                  <c:v>0.92205170953614357</c:v>
                </c:pt>
                <c:pt idx="230">
                  <c:v>0.91552944877726639</c:v>
                </c:pt>
                <c:pt idx="231">
                  <c:v>0.90015263896489262</c:v>
                </c:pt>
                <c:pt idx="232">
                  <c:v>0.9021105887582922</c:v>
                </c:pt>
                <c:pt idx="233">
                  <c:v>0.88350575714466117</c:v>
                </c:pt>
                <c:pt idx="234">
                  <c:v>0.88349128443690828</c:v>
                </c:pt>
                <c:pt idx="235">
                  <c:v>0.87897272192842479</c:v>
                </c:pt>
                <c:pt idx="236">
                  <c:v>0.88796135322162628</c:v>
                </c:pt>
                <c:pt idx="237">
                  <c:v>0.89718786885698221</c:v>
                </c:pt>
                <c:pt idx="238">
                  <c:v>0.89654806275164611</c:v>
                </c:pt>
                <c:pt idx="239">
                  <c:v>0.88769638194762379</c:v>
                </c:pt>
                <c:pt idx="240">
                  <c:v>0.88735247484877844</c:v>
                </c:pt>
                <c:pt idx="241">
                  <c:v>0.89647705559173096</c:v>
                </c:pt>
                <c:pt idx="242">
                  <c:v>0.88930311608537782</c:v>
                </c:pt>
                <c:pt idx="243">
                  <c:v>0.88979946485464023</c:v>
                </c:pt>
                <c:pt idx="244">
                  <c:v>0.89288179164677495</c:v>
                </c:pt>
                <c:pt idx="245">
                  <c:v>0.88195661851179652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2B-4C64-A86B-2957019B02AA}"/>
            </c:ext>
          </c:extLst>
        </c:ser>
        <c:ser>
          <c:idx val="3"/>
          <c:order val="3"/>
          <c:tx>
            <c:v>Diversified risk parity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PCA!$BE$5:$BE$250</c:f>
              <c:numCache>
                <c:formatCode>General</c:formatCode>
                <c:ptCount val="246"/>
                <c:pt idx="0">
                  <c:v>0.44078468814153199</c:v>
                </c:pt>
                <c:pt idx="1">
                  <c:v>0.43526333459214567</c:v>
                </c:pt>
                <c:pt idx="2">
                  <c:v>0.43605377536803669</c:v>
                </c:pt>
                <c:pt idx="3">
                  <c:v>0.4446409080871323</c:v>
                </c:pt>
                <c:pt idx="4">
                  <c:v>0.4503953104338887</c:v>
                </c:pt>
                <c:pt idx="5">
                  <c:v>0.45838567199179953</c:v>
                </c:pt>
                <c:pt idx="6">
                  <c:v>0.45742595073793701</c:v>
                </c:pt>
                <c:pt idx="7">
                  <c:v>0.45854215548793109</c:v>
                </c:pt>
                <c:pt idx="8">
                  <c:v>0.46147131901892113</c:v>
                </c:pt>
                <c:pt idx="9">
                  <c:v>0.45954155502217719</c:v>
                </c:pt>
                <c:pt idx="10">
                  <c:v>0.46540028532912181</c:v>
                </c:pt>
                <c:pt idx="11">
                  <c:v>0.47368740225452804</c:v>
                </c:pt>
                <c:pt idx="12">
                  <c:v>0.46872034580968447</c:v>
                </c:pt>
                <c:pt idx="13">
                  <c:v>0.46483560692468989</c:v>
                </c:pt>
                <c:pt idx="14">
                  <c:v>0.46872932336476247</c:v>
                </c:pt>
                <c:pt idx="15">
                  <c:v>0.46728605173498011</c:v>
                </c:pt>
                <c:pt idx="16">
                  <c:v>0.47490444676624893</c:v>
                </c:pt>
                <c:pt idx="17">
                  <c:v>0.47387253799722162</c:v>
                </c:pt>
                <c:pt idx="18">
                  <c:v>0.47253313023275856</c:v>
                </c:pt>
                <c:pt idx="19">
                  <c:v>0.47026383203045008</c:v>
                </c:pt>
                <c:pt idx="20">
                  <c:v>0.46915106155649872</c:v>
                </c:pt>
                <c:pt idx="21">
                  <c:v>0.46989838324828453</c:v>
                </c:pt>
                <c:pt idx="22">
                  <c:v>0.47452522263431507</c:v>
                </c:pt>
                <c:pt idx="23">
                  <c:v>0.47246615082977517</c:v>
                </c:pt>
                <c:pt idx="24">
                  <c:v>0.47463100552620563</c:v>
                </c:pt>
                <c:pt idx="25">
                  <c:v>0.47606224668233588</c:v>
                </c:pt>
                <c:pt idx="26">
                  <c:v>0.46675872194800294</c:v>
                </c:pt>
                <c:pt idx="27">
                  <c:v>0.46793026958177919</c:v>
                </c:pt>
                <c:pt idx="28">
                  <c:v>0.46574598956100177</c:v>
                </c:pt>
                <c:pt idx="29">
                  <c:v>0.46570270487799315</c:v>
                </c:pt>
                <c:pt idx="30">
                  <c:v>0.46429602495036015</c:v>
                </c:pt>
                <c:pt idx="31">
                  <c:v>0.46196268078928471</c:v>
                </c:pt>
                <c:pt idx="32">
                  <c:v>0.4598865380876051</c:v>
                </c:pt>
                <c:pt idx="33">
                  <c:v>0.46098807114883411</c:v>
                </c:pt>
                <c:pt idx="34">
                  <c:v>0.45963005525964618</c:v>
                </c:pt>
                <c:pt idx="35">
                  <c:v>0.46101289190977279</c:v>
                </c:pt>
                <c:pt idx="36">
                  <c:v>0.4586803280660901</c:v>
                </c:pt>
                <c:pt idx="37">
                  <c:v>0.45423378353049609</c:v>
                </c:pt>
                <c:pt idx="38">
                  <c:v>0.45438975956105315</c:v>
                </c:pt>
                <c:pt idx="39">
                  <c:v>0.44849549977511338</c:v>
                </c:pt>
                <c:pt idx="40">
                  <c:v>0.44721289125449343</c:v>
                </c:pt>
                <c:pt idx="41">
                  <c:v>0.43976549097494899</c:v>
                </c:pt>
                <c:pt idx="42">
                  <c:v>0.44114959976452928</c:v>
                </c:pt>
                <c:pt idx="43">
                  <c:v>0.43939835407867822</c:v>
                </c:pt>
                <c:pt idx="44">
                  <c:v>0.44622666238187947</c:v>
                </c:pt>
                <c:pt idx="45">
                  <c:v>0.45165563386219865</c:v>
                </c:pt>
                <c:pt idx="46">
                  <c:v>0.45530292762806401</c:v>
                </c:pt>
                <c:pt idx="47">
                  <c:v>0.45559602284127715</c:v>
                </c:pt>
                <c:pt idx="48">
                  <c:v>0.45615920684077754</c:v>
                </c:pt>
                <c:pt idx="49">
                  <c:v>0.45609937742662454</c:v>
                </c:pt>
                <c:pt idx="50">
                  <c:v>0.45515050861522999</c:v>
                </c:pt>
                <c:pt idx="51">
                  <c:v>0.45826640859268009</c:v>
                </c:pt>
                <c:pt idx="52">
                  <c:v>0.46117935686897638</c:v>
                </c:pt>
                <c:pt idx="53">
                  <c:v>0.46275155418513692</c:v>
                </c:pt>
                <c:pt idx="54">
                  <c:v>0.47006795304442495</c:v>
                </c:pt>
                <c:pt idx="55">
                  <c:v>0.46008796047929496</c:v>
                </c:pt>
                <c:pt idx="56">
                  <c:v>0.46459346843508326</c:v>
                </c:pt>
                <c:pt idx="57">
                  <c:v>0.4711008681916089</c:v>
                </c:pt>
                <c:pt idx="58">
                  <c:v>0.47349481642393881</c:v>
                </c:pt>
                <c:pt idx="59">
                  <c:v>0.47116880361581925</c:v>
                </c:pt>
                <c:pt idx="60">
                  <c:v>0.47025298908922603</c:v>
                </c:pt>
                <c:pt idx="61">
                  <c:v>0.46793719424919078</c:v>
                </c:pt>
                <c:pt idx="62">
                  <c:v>0.46417526389231617</c:v>
                </c:pt>
                <c:pt idx="63">
                  <c:v>0.46771085855950484</c:v>
                </c:pt>
                <c:pt idx="64">
                  <c:v>0.46542950467003086</c:v>
                </c:pt>
                <c:pt idx="65">
                  <c:v>0.47220429768798555</c:v>
                </c:pt>
                <c:pt idx="66">
                  <c:v>0.47380500395151415</c:v>
                </c:pt>
                <c:pt idx="67">
                  <c:v>0.4712802972860245</c:v>
                </c:pt>
                <c:pt idx="68">
                  <c:v>0.47156934943416839</c:v>
                </c:pt>
                <c:pt idx="69">
                  <c:v>0.47030377115627908</c:v>
                </c:pt>
                <c:pt idx="70">
                  <c:v>0.47014758230856529</c:v>
                </c:pt>
                <c:pt idx="71">
                  <c:v>0.46055968838096317</c:v>
                </c:pt>
                <c:pt idx="72">
                  <c:v>0.45357089880950618</c:v>
                </c:pt>
                <c:pt idx="73">
                  <c:v>0.45325801945089089</c:v>
                </c:pt>
                <c:pt idx="74">
                  <c:v>0.456573849082895</c:v>
                </c:pt>
                <c:pt idx="75">
                  <c:v>0.45668528992063212</c:v>
                </c:pt>
                <c:pt idx="76">
                  <c:v>0.45862572811867702</c:v>
                </c:pt>
                <c:pt idx="77">
                  <c:v>0.4555751003777867</c:v>
                </c:pt>
                <c:pt idx="78">
                  <c:v>0.45495779090908184</c:v>
                </c:pt>
                <c:pt idx="79">
                  <c:v>0.45904513667236868</c:v>
                </c:pt>
                <c:pt idx="80">
                  <c:v>0.45781429857631956</c:v>
                </c:pt>
                <c:pt idx="81">
                  <c:v>0.45372991535561147</c:v>
                </c:pt>
                <c:pt idx="82">
                  <c:v>0.45463117810675541</c:v>
                </c:pt>
                <c:pt idx="83">
                  <c:v>0.45101290296236934</c:v>
                </c:pt>
                <c:pt idx="84">
                  <c:v>0.45092526336491656</c:v>
                </c:pt>
                <c:pt idx="85">
                  <c:v>0.44898666807066456</c:v>
                </c:pt>
                <c:pt idx="86">
                  <c:v>0.44772915529139606</c:v>
                </c:pt>
                <c:pt idx="87">
                  <c:v>0.44815270608276647</c:v>
                </c:pt>
                <c:pt idx="88">
                  <c:v>0.4482662566973652</c:v>
                </c:pt>
                <c:pt idx="89">
                  <c:v>0.44559684301662417</c:v>
                </c:pt>
                <c:pt idx="90">
                  <c:v>0.44241249737751487</c:v>
                </c:pt>
                <c:pt idx="91">
                  <c:v>0.44014283321395098</c:v>
                </c:pt>
                <c:pt idx="92">
                  <c:v>0.44090244065357392</c:v>
                </c:pt>
                <c:pt idx="93">
                  <c:v>0.4420716899540249</c:v>
                </c:pt>
                <c:pt idx="94">
                  <c:v>0.44402534172557029</c:v>
                </c:pt>
                <c:pt idx="95">
                  <c:v>0.44393279499794469</c:v>
                </c:pt>
                <c:pt idx="96">
                  <c:v>0.44801109334396028</c:v>
                </c:pt>
                <c:pt idx="97">
                  <c:v>0.45209360544024735</c:v>
                </c:pt>
                <c:pt idx="98">
                  <c:v>0.44630287487571724</c:v>
                </c:pt>
                <c:pt idx="99">
                  <c:v>0.44701508862882666</c:v>
                </c:pt>
                <c:pt idx="100">
                  <c:v>0.44548478283031956</c:v>
                </c:pt>
                <c:pt idx="101">
                  <c:v>0.44761049512432383</c:v>
                </c:pt>
                <c:pt idx="102">
                  <c:v>0.4503956861065127</c:v>
                </c:pt>
                <c:pt idx="103">
                  <c:v>0.45030549034948864</c:v>
                </c:pt>
                <c:pt idx="104">
                  <c:v>0.45438247965101558</c:v>
                </c:pt>
                <c:pt idx="105">
                  <c:v>0.45749665785704113</c:v>
                </c:pt>
                <c:pt idx="106">
                  <c:v>0.47081900020326273</c:v>
                </c:pt>
                <c:pt idx="107">
                  <c:v>0.46496068939317403</c:v>
                </c:pt>
                <c:pt idx="108">
                  <c:v>0.4627732095292495</c:v>
                </c:pt>
                <c:pt idx="109">
                  <c:v>0.46589926208367771</c:v>
                </c:pt>
                <c:pt idx="110">
                  <c:v>0.46091020531713156</c:v>
                </c:pt>
                <c:pt idx="111">
                  <c:v>0.46189849334213218</c:v>
                </c:pt>
                <c:pt idx="112">
                  <c:v>0.4662718011827196</c:v>
                </c:pt>
                <c:pt idx="113">
                  <c:v>0.47073856486791266</c:v>
                </c:pt>
                <c:pt idx="114">
                  <c:v>0.47332274064672253</c:v>
                </c:pt>
                <c:pt idx="115">
                  <c:v>0.47348311278712762</c:v>
                </c:pt>
                <c:pt idx="116">
                  <c:v>0.46246213085846655</c:v>
                </c:pt>
                <c:pt idx="117">
                  <c:v>0.46978047134166878</c:v>
                </c:pt>
                <c:pt idx="118">
                  <c:v>0.46341482055547523</c:v>
                </c:pt>
                <c:pt idx="119">
                  <c:v>0.47036855082170115</c:v>
                </c:pt>
                <c:pt idx="120">
                  <c:v>0.46959860217826194</c:v>
                </c:pt>
                <c:pt idx="121">
                  <c:v>0.46727013029819542</c:v>
                </c:pt>
                <c:pt idx="122">
                  <c:v>0.4632524656223862</c:v>
                </c:pt>
                <c:pt idx="123">
                  <c:v>0.46811110590648336</c:v>
                </c:pt>
                <c:pt idx="124">
                  <c:v>0.4735097347809612</c:v>
                </c:pt>
                <c:pt idx="125">
                  <c:v>0.47434744374472743</c:v>
                </c:pt>
                <c:pt idx="126">
                  <c:v>0.47735470774762323</c:v>
                </c:pt>
                <c:pt idx="127">
                  <c:v>0.48111258815899982</c:v>
                </c:pt>
                <c:pt idx="128">
                  <c:v>0.48561661186719929</c:v>
                </c:pt>
                <c:pt idx="129">
                  <c:v>0.48543762435290239</c:v>
                </c:pt>
                <c:pt idx="130">
                  <c:v>0.48167257143027908</c:v>
                </c:pt>
                <c:pt idx="131">
                  <c:v>0.48323550897962636</c:v>
                </c:pt>
                <c:pt idx="132">
                  <c:v>0.4853271267214741</c:v>
                </c:pt>
                <c:pt idx="133">
                  <c:v>0.47829782547304428</c:v>
                </c:pt>
                <c:pt idx="134">
                  <c:v>0.47514879207531596</c:v>
                </c:pt>
                <c:pt idx="135">
                  <c:v>0.47616543373487186</c:v>
                </c:pt>
                <c:pt idx="136">
                  <c:v>0.47435211584055681</c:v>
                </c:pt>
                <c:pt idx="137">
                  <c:v>0.47508346336214363</c:v>
                </c:pt>
                <c:pt idx="138">
                  <c:v>0.46946888658756403</c:v>
                </c:pt>
                <c:pt idx="139">
                  <c:v>0.48100502932734901</c:v>
                </c:pt>
                <c:pt idx="140">
                  <c:v>0.47918073360588176</c:v>
                </c:pt>
                <c:pt idx="141">
                  <c:v>0.48304122429746066</c:v>
                </c:pt>
                <c:pt idx="142">
                  <c:v>0.48383629142339912</c:v>
                </c:pt>
                <c:pt idx="143">
                  <c:v>0.4817184085277727</c:v>
                </c:pt>
                <c:pt idx="144">
                  <c:v>0.48155602209151305</c:v>
                </c:pt>
                <c:pt idx="145">
                  <c:v>0.48697577023399335</c:v>
                </c:pt>
                <c:pt idx="146">
                  <c:v>0.49014378008593684</c:v>
                </c:pt>
                <c:pt idx="147">
                  <c:v>0.48753575597412246</c:v>
                </c:pt>
                <c:pt idx="148">
                  <c:v>0.48913413166466713</c:v>
                </c:pt>
                <c:pt idx="149">
                  <c:v>0.48653423834599496</c:v>
                </c:pt>
                <c:pt idx="150">
                  <c:v>0.48742277169823828</c:v>
                </c:pt>
                <c:pt idx="151">
                  <c:v>0.48628207470279916</c:v>
                </c:pt>
                <c:pt idx="152">
                  <c:v>0.49336086342524849</c:v>
                </c:pt>
                <c:pt idx="153">
                  <c:v>0.48634138317946046</c:v>
                </c:pt>
                <c:pt idx="154">
                  <c:v>0.48928352345647552</c:v>
                </c:pt>
                <c:pt idx="155">
                  <c:v>0.48798972529768653</c:v>
                </c:pt>
                <c:pt idx="156">
                  <c:v>0.48723069492237669</c:v>
                </c:pt>
                <c:pt idx="157">
                  <c:v>0.48384783395428788</c:v>
                </c:pt>
                <c:pt idx="158">
                  <c:v>0.49083759608279393</c:v>
                </c:pt>
                <c:pt idx="159">
                  <c:v>0.49103617161699353</c:v>
                </c:pt>
                <c:pt idx="160">
                  <c:v>0.48511157655843995</c:v>
                </c:pt>
                <c:pt idx="161">
                  <c:v>0.48142854299226978</c:v>
                </c:pt>
                <c:pt idx="162">
                  <c:v>0.48422180618892996</c:v>
                </c:pt>
                <c:pt idx="163">
                  <c:v>0.48325559760143016</c:v>
                </c:pt>
                <c:pt idx="164">
                  <c:v>0.48469653359117387</c:v>
                </c:pt>
                <c:pt idx="165">
                  <c:v>0.49709971425032096</c:v>
                </c:pt>
                <c:pt idx="166">
                  <c:v>0.49594435964251427</c:v>
                </c:pt>
                <c:pt idx="167">
                  <c:v>0.50221630795664729</c:v>
                </c:pt>
                <c:pt idx="168">
                  <c:v>0.5059908603512987</c:v>
                </c:pt>
                <c:pt idx="169">
                  <c:v>0.49635413460311717</c:v>
                </c:pt>
                <c:pt idx="170">
                  <c:v>0.47884457461612856</c:v>
                </c:pt>
                <c:pt idx="171">
                  <c:v>0.47969868920507291</c:v>
                </c:pt>
                <c:pt idx="172">
                  <c:v>0.48704457124176709</c:v>
                </c:pt>
                <c:pt idx="173">
                  <c:v>0.48974366252324747</c:v>
                </c:pt>
                <c:pt idx="174">
                  <c:v>0.4949303373353362</c:v>
                </c:pt>
                <c:pt idx="175">
                  <c:v>0.4836603015812988</c:v>
                </c:pt>
                <c:pt idx="176">
                  <c:v>0.47867728242048035</c:v>
                </c:pt>
                <c:pt idx="177">
                  <c:v>0.48316398583596204</c:v>
                </c:pt>
                <c:pt idx="178">
                  <c:v>0.47160414414236868</c:v>
                </c:pt>
                <c:pt idx="179">
                  <c:v>0.47211197902209479</c:v>
                </c:pt>
                <c:pt idx="180">
                  <c:v>0.47103311567231715</c:v>
                </c:pt>
                <c:pt idx="181">
                  <c:v>0.47715724624717559</c:v>
                </c:pt>
                <c:pt idx="182">
                  <c:v>0.4634031490618219</c:v>
                </c:pt>
                <c:pt idx="183">
                  <c:v>0.4535696139540818</c:v>
                </c:pt>
                <c:pt idx="184">
                  <c:v>0.45390954270468775</c:v>
                </c:pt>
                <c:pt idx="185">
                  <c:v>0.45900760977851407</c:v>
                </c:pt>
                <c:pt idx="186">
                  <c:v>0.45938691575586343</c:v>
                </c:pt>
                <c:pt idx="187">
                  <c:v>0.46047166286091096</c:v>
                </c:pt>
                <c:pt idx="188">
                  <c:v>0.46579958928629911</c:v>
                </c:pt>
                <c:pt idx="189">
                  <c:v>0.46135109622513842</c:v>
                </c:pt>
                <c:pt idx="190">
                  <c:v>0.45447824164984524</c:v>
                </c:pt>
                <c:pt idx="191">
                  <c:v>0.45901092068177218</c:v>
                </c:pt>
                <c:pt idx="192">
                  <c:v>0.46521734890665767</c:v>
                </c:pt>
                <c:pt idx="193">
                  <c:v>0.46353887700778007</c:v>
                </c:pt>
                <c:pt idx="194">
                  <c:v>0.46086136485882173</c:v>
                </c:pt>
                <c:pt idx="195">
                  <c:v>0.46225133255569795</c:v>
                </c:pt>
                <c:pt idx="196">
                  <c:v>0.4604420392018464</c:v>
                </c:pt>
                <c:pt idx="197">
                  <c:v>0.46700286536172303</c:v>
                </c:pt>
                <c:pt idx="198">
                  <c:v>0.46489607156993967</c:v>
                </c:pt>
                <c:pt idx="199">
                  <c:v>0.46821181758424357</c:v>
                </c:pt>
                <c:pt idx="200">
                  <c:v>0.46813605979202438</c:v>
                </c:pt>
                <c:pt idx="201">
                  <c:v>0.46550026250225696</c:v>
                </c:pt>
                <c:pt idx="202">
                  <c:v>0.46246095982733071</c:v>
                </c:pt>
                <c:pt idx="203">
                  <c:v>0.46480221290164914</c:v>
                </c:pt>
                <c:pt idx="204">
                  <c:v>0.46485760206369042</c:v>
                </c:pt>
                <c:pt idx="205">
                  <c:v>0.47452452438968334</c:v>
                </c:pt>
                <c:pt idx="206">
                  <c:v>0.46924595547489928</c:v>
                </c:pt>
                <c:pt idx="207">
                  <c:v>0.46637529026800251</c:v>
                </c:pt>
                <c:pt idx="208">
                  <c:v>0.46586695631953534</c:v>
                </c:pt>
                <c:pt idx="209">
                  <c:v>0.47070512028049166</c:v>
                </c:pt>
                <c:pt idx="210">
                  <c:v>0.47774289528975866</c:v>
                </c:pt>
                <c:pt idx="211">
                  <c:v>0.47629159542465532</c:v>
                </c:pt>
                <c:pt idx="212">
                  <c:v>0.47744640995228826</c:v>
                </c:pt>
                <c:pt idx="213">
                  <c:v>0.47638566426350804</c:v>
                </c:pt>
                <c:pt idx="214">
                  <c:v>0.47211931306751648</c:v>
                </c:pt>
                <c:pt idx="215">
                  <c:v>0.46980665284820639</c:v>
                </c:pt>
                <c:pt idx="216">
                  <c:v>0.47140699510647055</c:v>
                </c:pt>
                <c:pt idx="217">
                  <c:v>0.47251686297559353</c:v>
                </c:pt>
                <c:pt idx="218">
                  <c:v>0.46636632211976775</c:v>
                </c:pt>
                <c:pt idx="219">
                  <c:v>0.46911326886626337</c:v>
                </c:pt>
                <c:pt idx="220">
                  <c:v>0.47304723466304149</c:v>
                </c:pt>
                <c:pt idx="221">
                  <c:v>0.48027834217672066</c:v>
                </c:pt>
                <c:pt idx="222">
                  <c:v>0.48332812193525243</c:v>
                </c:pt>
                <c:pt idx="223">
                  <c:v>0.4865297171334873</c:v>
                </c:pt>
                <c:pt idx="224">
                  <c:v>0.48219853585497152</c:v>
                </c:pt>
                <c:pt idx="225">
                  <c:v>0.48850824939359239</c:v>
                </c:pt>
                <c:pt idx="226">
                  <c:v>0.49118851180761774</c:v>
                </c:pt>
                <c:pt idx="227">
                  <c:v>0.48840989823096825</c:v>
                </c:pt>
                <c:pt idx="228">
                  <c:v>0.48514634963499625</c:v>
                </c:pt>
                <c:pt idx="229">
                  <c:v>0.48864595657090709</c:v>
                </c:pt>
                <c:pt idx="230">
                  <c:v>0.48656875317146075</c:v>
                </c:pt>
                <c:pt idx="231">
                  <c:v>0.4874216386584746</c:v>
                </c:pt>
                <c:pt idx="232">
                  <c:v>0.48971962007746506</c:v>
                </c:pt>
                <c:pt idx="233">
                  <c:v>0.48190853274328777</c:v>
                </c:pt>
                <c:pt idx="234">
                  <c:v>0.48694420691236706</c:v>
                </c:pt>
                <c:pt idx="235">
                  <c:v>0.48304986609009359</c:v>
                </c:pt>
                <c:pt idx="236">
                  <c:v>0.48699154728259075</c:v>
                </c:pt>
                <c:pt idx="237">
                  <c:v>0.48965126785171842</c:v>
                </c:pt>
                <c:pt idx="238">
                  <c:v>0.4898677178625761</c:v>
                </c:pt>
                <c:pt idx="239">
                  <c:v>0.48723851408374108</c:v>
                </c:pt>
                <c:pt idx="240">
                  <c:v>0.48607209142376273</c:v>
                </c:pt>
                <c:pt idx="241">
                  <c:v>0.48841389458127643</c:v>
                </c:pt>
                <c:pt idx="242">
                  <c:v>0.4822189376448055</c:v>
                </c:pt>
                <c:pt idx="243">
                  <c:v>0.48177465612229187</c:v>
                </c:pt>
                <c:pt idx="244">
                  <c:v>0.48613366874780856</c:v>
                </c:pt>
                <c:pt idx="245">
                  <c:v>0.47982675836899585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2B-4C64-A86B-2957019B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76832"/>
        <c:axId val="639478472"/>
      </c:scatterChart>
      <c:valAx>
        <c:axId val="639476832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478472"/>
        <c:crosses val="autoZero"/>
        <c:crossBetween val="midCat"/>
      </c:valAx>
      <c:valAx>
        <c:axId val="63947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47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723005691704263"/>
          <c:y val="0.57866966629171357"/>
          <c:w val="0.38366876050606036"/>
          <c:h val="0.19834870641169855"/>
        </c:manualLayout>
      </c:layout>
      <c:overlay val="1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723900</xdr:colOff>
      <xdr:row>11</xdr:row>
      <xdr:rowOff>133350</xdr:rowOff>
    </xdr:from>
    <xdr:ext cx="19931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315825" y="1914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HK"/>
        </a:p>
      </xdr:txBody>
    </xdr:sp>
    <xdr:clientData/>
  </xdr:oneCellAnchor>
  <xdr:twoCellAnchor>
    <xdr:from>
      <xdr:col>12</xdr:col>
      <xdr:colOff>366713</xdr:colOff>
      <xdr:row>7</xdr:row>
      <xdr:rowOff>38100</xdr:rowOff>
    </xdr:from>
    <xdr:to>
      <xdr:col>18</xdr:col>
      <xdr:colOff>457200</xdr:colOff>
      <xdr:row>32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372850" y="1171575"/>
          <a:ext cx="4505325" cy="408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calculation of eigenvectors</a:t>
          </a:r>
          <a:r>
            <a:rPr lang="en-US" sz="1100" baseline="0"/>
            <a:t> and eigenvalues involves the use of array functions</a:t>
          </a:r>
        </a:p>
        <a:p>
          <a:endParaRPr lang="en-US" sz="1100" baseline="0"/>
        </a:p>
        <a:p>
          <a:r>
            <a:rPr lang="en-US" sz="1100" b="1" baseline="0"/>
            <a:t>Eigenvalues</a:t>
          </a:r>
        </a:p>
        <a:p>
          <a:r>
            <a:rPr lang="en-US" sz="1100" baseline="0"/>
            <a:t>1. Select a range of cells that corresponds to the size of the matrix. (In the example the matrix is 9 by 9 and  cells C13:K21 are selected.) </a:t>
          </a:r>
        </a:p>
        <a:p>
          <a:r>
            <a:rPr lang="en-US" sz="1100" baseline="0"/>
            <a:t>2. While selected cells are displayed enter  =eigenvalue(...) .  The argument of eigenvalue  should be the range of cells corresponding to the original matrix. (In the example this is C1:K9 so that the formula entered is =eigenvalue(C1:K9)</a:t>
          </a:r>
        </a:p>
        <a:p>
          <a:r>
            <a:rPr lang="en-US" sz="1100" baseline="0"/>
            <a:t>3. Press Control+Shift+Enter</a:t>
          </a:r>
        </a:p>
        <a:p>
          <a:r>
            <a:rPr lang="en-US" sz="1100"/>
            <a:t>4. The eigenvalues are displayed on the diagonal of the</a:t>
          </a:r>
          <a:r>
            <a:rPr lang="en-US" sz="1100" baseline="0"/>
            <a:t> matrix that is produced</a:t>
          </a:r>
        </a:p>
        <a:p>
          <a:endParaRPr lang="en-US" sz="1100" baseline="0"/>
        </a:p>
        <a:p>
          <a:r>
            <a:rPr lang="en-US" sz="1100" b="1" baseline="0"/>
            <a:t>Eigenvectors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Select a range of cells that corresponds to the size of the matrix. (In the example the matrix is 9 by 9 and  cells C25:K33 are selected.)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While selected cells are displayed enter  =eigenvector(...) .  The argument of eigenvalue  should be the range of cells corresponding to the original matrix. (In the example this is C1:K9 so that the formula entered is =eigenvector(C1:K9)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Press Control+Shift+Enter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The eigenvectors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are the columns of the  matrix that is produced</a:t>
          </a:r>
          <a:endParaRPr lang="en-US">
            <a:effectLst/>
          </a:endParaRPr>
        </a:p>
        <a:p>
          <a:endParaRPr lang="en-US" sz="1100" b="1"/>
        </a:p>
      </xdr:txBody>
    </xdr:sp>
    <xdr:clientData/>
  </xdr:twoCellAnchor>
  <xdr:twoCellAnchor>
    <xdr:from>
      <xdr:col>0</xdr:col>
      <xdr:colOff>61914</xdr:colOff>
      <xdr:row>1</xdr:row>
      <xdr:rowOff>38100</xdr:rowOff>
    </xdr:from>
    <xdr:to>
      <xdr:col>1</xdr:col>
      <xdr:colOff>528638</xdr:colOff>
      <xdr:row>6</xdr:row>
      <xdr:rowOff>76199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7151" y="200025"/>
          <a:ext cx="1047749" cy="8477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Matrix for which eigenvalues and eigenvectors are required is in F1:N9</a:t>
          </a:r>
        </a:p>
      </xdr:txBody>
    </xdr:sp>
    <xdr:clientData/>
  </xdr:twoCellAnchor>
  <xdr:twoCellAnchor>
    <xdr:from>
      <xdr:col>0</xdr:col>
      <xdr:colOff>1</xdr:colOff>
      <xdr:row>13</xdr:row>
      <xdr:rowOff>66675</xdr:rowOff>
    </xdr:from>
    <xdr:to>
      <xdr:col>1</xdr:col>
      <xdr:colOff>571501</xdr:colOff>
      <xdr:row>17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" y="2171700"/>
          <a:ext cx="114300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Eigenvalues are on diagonal in C13:K21</a:t>
          </a:r>
        </a:p>
      </xdr:txBody>
    </xdr:sp>
    <xdr:clientData/>
  </xdr:twoCellAnchor>
  <xdr:twoCellAnchor>
    <xdr:from>
      <xdr:col>0</xdr:col>
      <xdr:colOff>19050</xdr:colOff>
      <xdr:row>26</xdr:row>
      <xdr:rowOff>28575</xdr:rowOff>
    </xdr:from>
    <xdr:to>
      <xdr:col>1</xdr:col>
      <xdr:colOff>561975</xdr:colOff>
      <xdr:row>30</xdr:row>
      <xdr:rowOff>123825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9050" y="4238625"/>
          <a:ext cx="11144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Eigenvectors</a:t>
          </a:r>
          <a:r>
            <a:rPr lang="en-US" sz="1100" baseline="0"/>
            <a:t> are in columns  of C25:K23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71</xdr:row>
      <xdr:rowOff>0</xdr:rowOff>
    </xdr:from>
    <xdr:to>
      <xdr:col>32</xdr:col>
      <xdr:colOff>371475</xdr:colOff>
      <xdr:row>87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55767A-D2B7-47F1-A3F6-CD87D526E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71</xdr:row>
      <xdr:rowOff>0</xdr:rowOff>
    </xdr:from>
    <xdr:to>
      <xdr:col>40</xdr:col>
      <xdr:colOff>371475</xdr:colOff>
      <xdr:row>87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5D78CD5-B8E3-4463-890B-2ED75E91F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0</xdr:colOff>
      <xdr:row>71</xdr:row>
      <xdr:rowOff>0</xdr:rowOff>
    </xdr:from>
    <xdr:to>
      <xdr:col>48</xdr:col>
      <xdr:colOff>371475</xdr:colOff>
      <xdr:row>87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3350BF6-8BD6-498E-BB97-C9846D0D0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64</xdr:col>
      <xdr:colOff>0</xdr:colOff>
      <xdr:row>0</xdr:row>
      <xdr:rowOff>0</xdr:rowOff>
    </xdr:from>
    <xdr:to>
      <xdr:col>71</xdr:col>
      <xdr:colOff>38100</xdr:colOff>
      <xdr:row>16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A247A55-4BFD-49EB-BF81-3CADCA75A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1:K33"/>
  <sheetViews>
    <sheetView topLeftCell="B1" workbookViewId="0">
      <selection activeCell="K33" sqref="K33"/>
    </sheetView>
  </sheetViews>
  <sheetFormatPr defaultRowHeight="12.75" x14ac:dyDescent="0.2"/>
  <cols>
    <col min="2" max="2" width="21" customWidth="1"/>
    <col min="3" max="6" width="12.5703125" bestFit="1" customWidth="1"/>
    <col min="7" max="7" width="13.140625" bestFit="1" customWidth="1"/>
    <col min="8" max="10" width="12.42578125" bestFit="1" customWidth="1"/>
    <col min="11" max="11" width="9.28515625" bestFit="1" customWidth="1"/>
    <col min="14" max="14" width="20.5703125" bestFit="1" customWidth="1"/>
  </cols>
  <sheetData>
    <row r="1" spans="3:11" x14ac:dyDescent="0.2">
      <c r="C1" s="1">
        <v>0.9042</v>
      </c>
      <c r="D1" s="1">
        <v>8.9200000000000002E-2</v>
      </c>
      <c r="E1" s="1">
        <v>6.1999999999999998E-3</v>
      </c>
      <c r="F1" s="1">
        <v>1E-4</v>
      </c>
      <c r="G1" s="1">
        <v>2.9999999999999997E-4</v>
      </c>
      <c r="H1" s="1">
        <v>0</v>
      </c>
      <c r="I1" s="1">
        <v>0</v>
      </c>
      <c r="J1" s="1">
        <v>0</v>
      </c>
      <c r="K1" s="1">
        <v>0</v>
      </c>
    </row>
    <row r="2" spans="3:11" x14ac:dyDescent="0.2">
      <c r="C2" s="1">
        <v>1.0200000000000001E-2</v>
      </c>
      <c r="D2" s="1">
        <v>0.9012</v>
      </c>
      <c r="E2" s="1">
        <v>8.3799999999999999E-2</v>
      </c>
      <c r="F2" s="1">
        <v>3.8E-3</v>
      </c>
      <c r="G2" s="1">
        <v>5.0000000000000001E-4</v>
      </c>
      <c r="H2" s="1">
        <v>2.0000000000000001E-4</v>
      </c>
      <c r="I2" s="1">
        <v>1E-4</v>
      </c>
      <c r="J2" s="1">
        <v>0</v>
      </c>
      <c r="K2" s="1">
        <v>2.0000000000000001E-4</v>
      </c>
    </row>
    <row r="3" spans="3:11" x14ac:dyDescent="0.2">
      <c r="C3" s="1">
        <v>5.9999999999999995E-4</v>
      </c>
      <c r="D3" s="1">
        <v>2.8199999999999999E-2</v>
      </c>
      <c r="E3" s="1">
        <v>0.90880000000000005</v>
      </c>
      <c r="F3" s="1">
        <v>5.5199999999999999E-2</v>
      </c>
      <c r="G3" s="1">
        <v>5.1000000000000004E-3</v>
      </c>
      <c r="H3" s="1">
        <v>1.1000000000000001E-3</v>
      </c>
      <c r="I3" s="1">
        <v>2.9999999999999997E-4</v>
      </c>
      <c r="J3" s="1">
        <v>1E-4</v>
      </c>
      <c r="K3" s="1">
        <v>5.9999999999999995E-4</v>
      </c>
    </row>
    <row r="4" spans="3:11" x14ac:dyDescent="0.2">
      <c r="C4" s="1">
        <v>5.0000000000000001E-4</v>
      </c>
      <c r="D4" s="1">
        <v>1.9E-3</v>
      </c>
      <c r="E4" s="1">
        <v>4.7899999999999998E-2</v>
      </c>
      <c r="F4" s="1">
        <v>0.89410000000000001</v>
      </c>
      <c r="G4" s="1">
        <v>4.3499999999999997E-2</v>
      </c>
      <c r="H4" s="1">
        <v>8.2000000000000007E-3</v>
      </c>
      <c r="I4" s="1">
        <v>1.8E-3</v>
      </c>
      <c r="J4" s="1">
        <v>2.0000000000000001E-4</v>
      </c>
      <c r="K4" s="1">
        <v>1.9E-3</v>
      </c>
    </row>
    <row r="5" spans="3:11" x14ac:dyDescent="0.2">
      <c r="C5" s="1">
        <v>1E-4</v>
      </c>
      <c r="D5" s="1">
        <v>5.9999999999999995E-4</v>
      </c>
      <c r="E5" s="1">
        <v>4.1000000000000003E-3</v>
      </c>
      <c r="F5" s="1">
        <v>6.2199999999999998E-2</v>
      </c>
      <c r="G5" s="1">
        <v>0.83430000000000004</v>
      </c>
      <c r="H5" s="1">
        <v>7.9699999999999993E-2</v>
      </c>
      <c r="I5" s="1">
        <v>5.8999999999999999E-3</v>
      </c>
      <c r="J5" s="1">
        <v>8.9999999999999998E-4</v>
      </c>
      <c r="K5" s="1">
        <v>1.2200000000000001E-2</v>
      </c>
    </row>
    <row r="6" spans="3:11" x14ac:dyDescent="0.2">
      <c r="C6" s="1">
        <v>1E-4</v>
      </c>
      <c r="D6" s="1">
        <v>4.0000000000000002E-4</v>
      </c>
      <c r="E6" s="1">
        <v>1.4E-3</v>
      </c>
      <c r="F6" s="1">
        <v>3.8E-3</v>
      </c>
      <c r="G6" s="1">
        <v>5.3199999999999997E-2</v>
      </c>
      <c r="H6" s="1">
        <v>0.82189999999999996</v>
      </c>
      <c r="I6" s="1">
        <v>6.4500000000000002E-2</v>
      </c>
      <c r="J6" s="1">
        <v>7.4000000000000003E-3</v>
      </c>
      <c r="K6" s="1">
        <v>4.7300000000000002E-2</v>
      </c>
    </row>
    <row r="7" spans="3:11" x14ac:dyDescent="0.2">
      <c r="C7" s="1">
        <v>0</v>
      </c>
      <c r="D7" s="1">
        <v>2.0000000000000001E-4</v>
      </c>
      <c r="E7" s="1">
        <v>2.0000000000000001E-4</v>
      </c>
      <c r="F7" s="1">
        <v>1.6000000000000001E-3</v>
      </c>
      <c r="G7" s="1">
        <v>5.3E-3</v>
      </c>
      <c r="H7" s="1">
        <v>9.4100000000000003E-2</v>
      </c>
      <c r="I7" s="1">
        <v>0.68430000000000002</v>
      </c>
      <c r="J7" s="1">
        <v>4.6699999999999998E-2</v>
      </c>
      <c r="K7" s="1">
        <v>0.1676</v>
      </c>
    </row>
    <row r="8" spans="3:11" x14ac:dyDescent="0.2">
      <c r="C8" s="1">
        <v>0</v>
      </c>
      <c r="D8" s="1">
        <v>0</v>
      </c>
      <c r="E8" s="1">
        <v>0</v>
      </c>
      <c r="F8" s="1">
        <v>0</v>
      </c>
      <c r="G8" s="1">
        <v>3.8999999999999998E-3</v>
      </c>
      <c r="H8" s="1">
        <v>2.8500000000000001E-2</v>
      </c>
      <c r="I8" s="1">
        <v>0.1066</v>
      </c>
      <c r="J8" s="1">
        <v>0.43540000000000001</v>
      </c>
      <c r="K8" s="1">
        <v>0.42559999999999998</v>
      </c>
    </row>
    <row r="9" spans="3:11" x14ac:dyDescent="0.2"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1</v>
      </c>
    </row>
    <row r="10" spans="3:11" x14ac:dyDescent="0.2">
      <c r="C10" s="1"/>
      <c r="D10" s="1"/>
      <c r="E10" s="1"/>
      <c r="F10" s="1"/>
      <c r="G10" s="1"/>
      <c r="H10" s="1"/>
      <c r="I10" s="1"/>
      <c r="J10" s="1"/>
      <c r="K10" s="1"/>
    </row>
    <row r="11" spans="3:11" x14ac:dyDescent="0.2">
      <c r="C11" s="1"/>
      <c r="D11" s="1"/>
      <c r="E11" s="1"/>
      <c r="F11" s="1"/>
      <c r="G11" s="1"/>
      <c r="H11" s="1"/>
      <c r="I11" s="1"/>
      <c r="J11" s="1"/>
      <c r="K11" s="1"/>
    </row>
    <row r="12" spans="3:11" x14ac:dyDescent="0.2">
      <c r="C12" s="1"/>
      <c r="D12" s="1"/>
      <c r="E12" s="1"/>
      <c r="F12" s="1"/>
      <c r="G12" s="1"/>
      <c r="H12" s="1"/>
      <c r="I12" s="1"/>
      <c r="J12" s="1"/>
      <c r="K12" s="1"/>
    </row>
    <row r="13" spans="3:11" x14ac:dyDescent="0.2">
      <c r="C13" s="1">
        <f t="array" ref="C13:K21">eigenvalue(C1:K9)</f>
        <v>0.98774605847514851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3:11" x14ac:dyDescent="0.2">
      <c r="C14" s="1">
        <v>0</v>
      </c>
      <c r="D14" s="1">
        <v>0.9361086619432375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</row>
    <row r="15" spans="3:11" x14ac:dyDescent="0.2">
      <c r="C15" s="1">
        <v>0</v>
      </c>
      <c r="D15" s="1">
        <v>0</v>
      </c>
      <c r="E15" s="1">
        <v>0.90445998963810992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</row>
    <row r="16" spans="3:11" x14ac:dyDescent="0.2">
      <c r="C16" s="1">
        <v>0</v>
      </c>
      <c r="D16" s="1">
        <v>0</v>
      </c>
      <c r="E16" s="1">
        <v>0</v>
      </c>
      <c r="F16" s="1">
        <v>0.87204244794957386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</row>
    <row r="17" spans="3:11" x14ac:dyDescent="0.2">
      <c r="C17" s="1">
        <v>0</v>
      </c>
      <c r="D17" s="1">
        <v>0</v>
      </c>
      <c r="E17" s="1">
        <v>0</v>
      </c>
      <c r="F17" s="1">
        <v>0</v>
      </c>
      <c r="G17" s="1">
        <v>0.65969004999393377</v>
      </c>
      <c r="H17" s="1">
        <v>0</v>
      </c>
      <c r="I17" s="1">
        <v>0</v>
      </c>
      <c r="J17" s="1">
        <v>0</v>
      </c>
      <c r="K17" s="1">
        <v>0</v>
      </c>
    </row>
    <row r="18" spans="3:11" x14ac:dyDescent="0.2"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0.8329362021677098</v>
      </c>
      <c r="I18" s="1">
        <v>0</v>
      </c>
      <c r="J18" s="1">
        <v>0</v>
      </c>
      <c r="K18" s="1">
        <v>0</v>
      </c>
    </row>
    <row r="19" spans="3:11" x14ac:dyDescent="0.2"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0.41670106723766642</v>
      </c>
      <c r="J19" s="1">
        <v>0</v>
      </c>
      <c r="K19" s="1">
        <v>0</v>
      </c>
    </row>
    <row r="20" spans="3:11" x14ac:dyDescent="0.2"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0.77451552259461953</v>
      </c>
      <c r="K20" s="1">
        <v>0</v>
      </c>
    </row>
    <row r="21" spans="3:11" x14ac:dyDescent="0.2"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1</v>
      </c>
    </row>
    <row r="22" spans="3:11" x14ac:dyDescent="0.2">
      <c r="C22" s="1"/>
      <c r="D22" s="1"/>
      <c r="E22" s="1"/>
      <c r="F22" s="1"/>
      <c r="G22" s="1"/>
      <c r="H22" s="1"/>
      <c r="I22" s="1"/>
      <c r="J22" s="1"/>
      <c r="K22" s="1"/>
    </row>
    <row r="23" spans="3:11" x14ac:dyDescent="0.2">
      <c r="C23" s="1"/>
      <c r="D23" s="1"/>
      <c r="E23" s="1"/>
      <c r="F23" s="1"/>
      <c r="G23" s="1"/>
      <c r="H23" s="1"/>
      <c r="I23" s="1"/>
      <c r="J23" s="1"/>
      <c r="K23" s="1"/>
    </row>
    <row r="24" spans="3:11" x14ac:dyDescent="0.2">
      <c r="C24" s="1"/>
      <c r="D24" s="1"/>
      <c r="E24" s="1"/>
      <c r="F24" s="1"/>
      <c r="G24" s="1"/>
      <c r="H24" s="1"/>
      <c r="I24" s="1"/>
      <c r="J24" s="1"/>
      <c r="K24" s="1"/>
    </row>
    <row r="25" spans="3:11" x14ac:dyDescent="0.2">
      <c r="C25" s="1">
        <f t="array" ref="C25:K33">eigenvector(C1:K9)</f>
        <v>-0.5918262462959657</v>
      </c>
      <c r="D25" s="1">
        <v>0.91034194176666505</v>
      </c>
      <c r="E25" s="1">
        <v>0.98191998791189428</v>
      </c>
      <c r="F25" s="1">
        <v>0.91265037477309086</v>
      </c>
      <c r="G25" s="1">
        <v>-6.4167229890036367E-5</v>
      </c>
      <c r="H25" s="1">
        <v>0.66064019235613236</v>
      </c>
      <c r="I25" s="1">
        <v>7.3395984882131868E-6</v>
      </c>
      <c r="J25" s="1">
        <v>-4.1955533235413067E-2</v>
      </c>
      <c r="K25" s="1">
        <v>0.33333333333333376</v>
      </c>
    </row>
    <row r="26" spans="3:11" x14ac:dyDescent="0.2">
      <c r="C26" s="1">
        <v>-0.52196897769095552</v>
      </c>
      <c r="D26" s="1">
        <v>0.32416408606205493</v>
      </c>
      <c r="E26" s="1">
        <v>1.0845054881877706E-2</v>
      </c>
      <c r="F26" s="1">
        <v>-0.32880293780094505</v>
      </c>
      <c r="G26" s="1">
        <v>8.6535829624100134E-4</v>
      </c>
      <c r="H26" s="1">
        <v>-0.55373582021523726</v>
      </c>
      <c r="I26" s="1">
        <v>-5.4207221883075957E-5</v>
      </c>
      <c r="J26" s="1">
        <v>7.1139474506313347E-2</v>
      </c>
      <c r="K26" s="1">
        <v>0.3333333333333337</v>
      </c>
    </row>
    <row r="27" spans="3:11" x14ac:dyDescent="0.2">
      <c r="C27" s="1">
        <v>-0.44971301069367836</v>
      </c>
      <c r="D27" s="1">
        <v>3.1991491217243331E-2</v>
      </c>
      <c r="E27" s="1">
        <v>-0.11914303019202176</v>
      </c>
      <c r="F27" s="1">
        <v>-3.5851488381769448E-3</v>
      </c>
      <c r="G27" s="1">
        <v>-2.5309959098396453E-3</v>
      </c>
      <c r="H27" s="1">
        <v>0.38177536956323549</v>
      </c>
      <c r="I27" s="1">
        <v>1.2847437289569729E-4</v>
      </c>
      <c r="J27" s="1">
        <v>-0.11267566297644367</v>
      </c>
      <c r="K27" s="1">
        <v>0.3333333333333337</v>
      </c>
    </row>
    <row r="28" spans="3:11" x14ac:dyDescent="0.2">
      <c r="C28" s="1">
        <v>-0.34886173109007368</v>
      </c>
      <c r="D28" s="1">
        <v>-0.14116243758486105</v>
      </c>
      <c r="E28" s="1">
        <v>-1.7836484915693923E-2</v>
      </c>
      <c r="F28" s="1">
        <v>0.16813306651807022</v>
      </c>
      <c r="G28" s="1">
        <v>2.3000061408779301E-2</v>
      </c>
      <c r="H28" s="1">
        <v>-0.24403736264917925</v>
      </c>
      <c r="I28" s="1">
        <v>-2.3419797740652454E-4</v>
      </c>
      <c r="J28" s="1">
        <v>0.30210323886981549</v>
      </c>
      <c r="K28" s="1">
        <v>0.33333333333333354</v>
      </c>
    </row>
    <row r="29" spans="3:11" x14ac:dyDescent="0.2">
      <c r="C29" s="1">
        <v>-0.2067017690899817</v>
      </c>
      <c r="D29" s="1">
        <v>-0.17291401980092747</v>
      </c>
      <c r="E29" s="1">
        <v>9.4601875095818272E-2</v>
      </c>
      <c r="F29" s="1">
        <v>-4.6550875391110982E-2</v>
      </c>
      <c r="G29" s="1">
        <v>-0.16036088450709635</v>
      </c>
      <c r="H29" s="1">
        <v>-9.699166593338937E-2</v>
      </c>
      <c r="I29" s="1">
        <v>1.61372149283246E-3</v>
      </c>
      <c r="J29" s="1">
        <v>-0.78760312499187835</v>
      </c>
      <c r="K29" s="1">
        <v>0.33333333333333337</v>
      </c>
    </row>
    <row r="30" spans="3:11" x14ac:dyDescent="0.2">
      <c r="C30" s="1">
        <v>-9.4954751070079987E-2</v>
      </c>
      <c r="D30" s="1">
        <v>-0.11206926467170773</v>
      </c>
      <c r="E30" s="1">
        <v>9.8276717391591523E-2</v>
      </c>
      <c r="F30" s="1">
        <v>-0.14545291062617119</v>
      </c>
      <c r="G30" s="1">
        <v>0.39907385482102614</v>
      </c>
      <c r="H30" s="1">
        <v>0.16703073085482989</v>
      </c>
      <c r="I30" s="1">
        <v>-1.014177474529492E-2</v>
      </c>
      <c r="J30" s="1">
        <v>0.33103505292769497</v>
      </c>
      <c r="K30" s="1">
        <v>0.33333333333333304</v>
      </c>
    </row>
    <row r="31" spans="3:11" x14ac:dyDescent="0.2">
      <c r="C31" s="1">
        <v>-3.7632442042357439E-2</v>
      </c>
      <c r="D31" s="1">
        <v>-4.9521498886864829E-2</v>
      </c>
      <c r="E31" s="1">
        <v>4.7791815831653331E-2</v>
      </c>
      <c r="F31" s="1">
        <v>-8.0492097301163912E-2</v>
      </c>
      <c r="G31" s="1">
        <v>-0.83275237937076729</v>
      </c>
      <c r="H31" s="1">
        <v>0.11235817100700743</v>
      </c>
      <c r="I31" s="1">
        <v>0.17533771313909663</v>
      </c>
      <c r="J31" s="1">
        <v>0.37502089906596953</v>
      </c>
      <c r="K31" s="1">
        <v>0.33333333333333304</v>
      </c>
    </row>
    <row r="32" spans="3:11" x14ac:dyDescent="0.2">
      <c r="C32" s="1">
        <v>-1.3621832746367002E-2</v>
      </c>
      <c r="D32" s="1">
        <v>-1.8268768241808543E-2</v>
      </c>
      <c r="E32" s="1">
        <v>1.7619156416569432E-2</v>
      </c>
      <c r="F32" s="1">
        <v>-2.9560602730648648E-2</v>
      </c>
      <c r="G32" s="1">
        <v>-0.34786744320674284</v>
      </c>
      <c r="H32" s="1">
        <v>4.115220015778024E-2</v>
      </c>
      <c r="I32" s="1">
        <v>-0.98445474873782879</v>
      </c>
      <c r="J32" s="1">
        <v>0.13664981864247636</v>
      </c>
      <c r="K32" s="1">
        <v>0.33333333333333287</v>
      </c>
    </row>
    <row r="33" spans="3:11" x14ac:dyDescent="0.2">
      <c r="C33" s="1">
        <v>6.2009314901666286E-41</v>
      </c>
      <c r="D33" s="1">
        <v>7.7015000840786163E-43</v>
      </c>
      <c r="E33" s="1">
        <v>4.4649439161424997E-48</v>
      </c>
      <c r="F33" s="1">
        <v>4.3288118667839434E-46</v>
      </c>
      <c r="G33" s="1">
        <v>6.9041532564423258E-49</v>
      </c>
      <c r="H33" s="1">
        <v>9.0054086402031457E-44</v>
      </c>
      <c r="I33" s="1">
        <v>1.9699308676351364E-47</v>
      </c>
      <c r="J33" s="1">
        <v>9.3950361621503861E-47</v>
      </c>
      <c r="K33" s="1">
        <v>0.33333333333333287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J250"/>
  <sheetViews>
    <sheetView tabSelected="1" zoomScaleNormal="100" workbookViewId="0"/>
  </sheetViews>
  <sheetFormatPr defaultColWidth="9" defaultRowHeight="12.75" x14ac:dyDescent="0.2"/>
  <cols>
    <col min="1" max="1" width="10.42578125" style="3" bestFit="1" customWidth="1"/>
    <col min="2" max="37" width="9" style="3"/>
    <col min="38" max="38" width="9" style="8"/>
    <col min="39" max="49" width="9" style="3"/>
    <col min="50" max="51" width="9" style="5"/>
    <col min="52" max="52" width="10.42578125" style="3" bestFit="1" customWidth="1"/>
    <col min="53" max="61" width="9" style="3"/>
    <col min="62" max="62" width="9" style="3" customWidth="1"/>
    <col min="63" max="16384" width="9" style="3"/>
  </cols>
  <sheetData>
    <row r="1" spans="1:62" x14ac:dyDescent="0.2">
      <c r="A1" s="3" t="s">
        <v>0</v>
      </c>
      <c r="N1" s="3" t="s">
        <v>1</v>
      </c>
      <c r="Z1" s="3" t="s">
        <v>282</v>
      </c>
      <c r="AL1" s="10" t="s">
        <v>279</v>
      </c>
      <c r="AM1" s="2"/>
      <c r="AN1" s="2"/>
      <c r="AO1" s="2"/>
      <c r="AP1" s="2"/>
      <c r="AQ1" s="2"/>
      <c r="AR1" s="2"/>
      <c r="AS1" s="2"/>
      <c r="AT1" s="2"/>
      <c r="AU1" s="2"/>
      <c r="AV1" s="2"/>
      <c r="AZ1" s="5"/>
      <c r="BA1" s="5"/>
      <c r="BB1" s="2" t="s">
        <v>2</v>
      </c>
      <c r="BC1" s="12" t="s">
        <v>3</v>
      </c>
      <c r="BD1" s="14" t="s">
        <v>261</v>
      </c>
      <c r="BE1" s="17" t="s">
        <v>288</v>
      </c>
    </row>
    <row r="2" spans="1:62" x14ac:dyDescent="0.2">
      <c r="A2" s="6" t="s">
        <v>4</v>
      </c>
      <c r="B2" s="6" t="s">
        <v>269</v>
      </c>
      <c r="C2" s="6" t="s">
        <v>270</v>
      </c>
      <c r="D2" s="6" t="s">
        <v>271</v>
      </c>
      <c r="E2" s="6" t="s">
        <v>272</v>
      </c>
      <c r="F2" s="6" t="s">
        <v>273</v>
      </c>
      <c r="G2" s="6" t="s">
        <v>274</v>
      </c>
      <c r="H2" s="6" t="s">
        <v>275</v>
      </c>
      <c r="I2" s="6" t="s">
        <v>276</v>
      </c>
      <c r="J2" s="6" t="s">
        <v>277</v>
      </c>
      <c r="K2" s="6" t="s">
        <v>278</v>
      </c>
      <c r="L2" s="6" t="s">
        <v>299</v>
      </c>
      <c r="N2" s="6" t="s">
        <v>269</v>
      </c>
      <c r="O2" s="6" t="s">
        <v>270</v>
      </c>
      <c r="P2" s="6" t="s">
        <v>271</v>
      </c>
      <c r="Q2" s="6" t="s">
        <v>272</v>
      </c>
      <c r="R2" s="6" t="s">
        <v>273</v>
      </c>
      <c r="S2" s="6" t="s">
        <v>274</v>
      </c>
      <c r="T2" s="6" t="s">
        <v>275</v>
      </c>
      <c r="U2" s="6" t="s">
        <v>276</v>
      </c>
      <c r="V2" s="6" t="s">
        <v>277</v>
      </c>
      <c r="W2" s="6" t="s">
        <v>278</v>
      </c>
      <c r="X2" s="6" t="s">
        <v>299</v>
      </c>
      <c r="Z2" s="6"/>
      <c r="AA2" s="6">
        <v>1</v>
      </c>
      <c r="AB2" s="6">
        <v>2</v>
      </c>
      <c r="AC2" s="6">
        <v>3</v>
      </c>
      <c r="AD2" s="6">
        <v>4</v>
      </c>
      <c r="AE2" s="6">
        <v>5</v>
      </c>
      <c r="AF2" s="6">
        <v>6</v>
      </c>
      <c r="AG2" s="6">
        <v>7</v>
      </c>
      <c r="AH2" s="6">
        <v>8</v>
      </c>
      <c r="AI2" s="6">
        <v>9</v>
      </c>
      <c r="AJ2" s="6">
        <v>10</v>
      </c>
      <c r="AL2" s="10"/>
      <c r="AM2" s="2" t="s">
        <v>269</v>
      </c>
      <c r="AN2" s="2" t="s">
        <v>270</v>
      </c>
      <c r="AO2" s="2" t="s">
        <v>271</v>
      </c>
      <c r="AP2" s="2" t="s">
        <v>272</v>
      </c>
      <c r="AQ2" s="2" t="s">
        <v>273</v>
      </c>
      <c r="AR2" s="2" t="s">
        <v>274</v>
      </c>
      <c r="AS2" s="2" t="s">
        <v>275</v>
      </c>
      <c r="AT2" s="2" t="s">
        <v>276</v>
      </c>
      <c r="AU2" s="2" t="s">
        <v>277</v>
      </c>
      <c r="AV2" s="2" t="s">
        <v>278</v>
      </c>
      <c r="AZ2" s="5"/>
      <c r="BA2" s="5" t="s">
        <v>6</v>
      </c>
      <c r="BB2" s="2">
        <v>0.94621639051755846</v>
      </c>
      <c r="BC2" s="12">
        <v>0.94746430328665265</v>
      </c>
      <c r="BD2" s="14">
        <v>1.0093749737027062</v>
      </c>
      <c r="BE2" s="17">
        <v>1.0885740164706625</v>
      </c>
      <c r="BG2" s="3" t="s">
        <v>1</v>
      </c>
    </row>
    <row r="3" spans="1:62" x14ac:dyDescent="0.2">
      <c r="A3" s="3" t="s">
        <v>7</v>
      </c>
      <c r="B3" s="3">
        <v>81.8</v>
      </c>
      <c r="C3" s="3">
        <v>86.25</v>
      </c>
      <c r="D3" s="3">
        <v>14.345000000000001</v>
      </c>
      <c r="E3" s="3">
        <v>66.900000000000006</v>
      </c>
      <c r="F3" s="3">
        <v>53</v>
      </c>
      <c r="G3" s="3">
        <v>180.6</v>
      </c>
      <c r="H3" s="3">
        <v>36.545000000000002</v>
      </c>
      <c r="I3" s="3">
        <v>111.5</v>
      </c>
      <c r="J3" s="3">
        <v>10.52</v>
      </c>
      <c r="K3" s="3">
        <v>86.5</v>
      </c>
      <c r="L3" s="3">
        <v>26506.75</v>
      </c>
      <c r="N3" s="5">
        <v>6.0938640743222194E-3</v>
      </c>
      <c r="O3" s="5">
        <v>-2.9027596579620507E-3</v>
      </c>
      <c r="P3" s="5">
        <v>8.8833952221394341E-3</v>
      </c>
      <c r="Q3" s="5">
        <v>1.9245597715233487E-2</v>
      </c>
      <c r="R3" s="5">
        <v>-1.8885746878685161E-3</v>
      </c>
      <c r="S3" s="5">
        <v>1.7563568938701479E-2</v>
      </c>
      <c r="T3" s="5">
        <v>1.4829974650824695E-2</v>
      </c>
      <c r="U3" s="5">
        <v>2.3926706321736546E-2</v>
      </c>
      <c r="V3" s="5">
        <v>2.4414358171287454E-2</v>
      </c>
      <c r="W3" s="5">
        <v>-1.1567381278236866E-3</v>
      </c>
      <c r="X3" s="5">
        <v>2.5157009084399107E-2</v>
      </c>
      <c r="Z3" s="6">
        <v>1</v>
      </c>
      <c r="AA3" s="23">
        <v>1</v>
      </c>
      <c r="AB3" s="23">
        <v>0.36215342477931312</v>
      </c>
      <c r="AC3" s="23">
        <v>0.36037989031003642</v>
      </c>
      <c r="AD3" s="23">
        <v>0.50883145665935137</v>
      </c>
      <c r="AE3" s="23">
        <v>0.49089019638846437</v>
      </c>
      <c r="AF3" s="23">
        <v>0.5618931992659707</v>
      </c>
      <c r="AG3" s="23">
        <v>0.57531488761055238</v>
      </c>
      <c r="AH3" s="23">
        <v>0.58837852301468729</v>
      </c>
      <c r="AI3" s="23">
        <v>0.57565813531131604</v>
      </c>
      <c r="AJ3" s="23">
        <v>0.47384604146905684</v>
      </c>
      <c r="AL3" s="9" t="s">
        <v>11</v>
      </c>
      <c r="AM3" s="5" t="s">
        <v>263</v>
      </c>
      <c r="AN3" s="5" t="s">
        <v>263</v>
      </c>
      <c r="AO3" s="5" t="s">
        <v>263</v>
      </c>
      <c r="AP3" s="5" t="s">
        <v>263</v>
      </c>
      <c r="AQ3" s="5" t="s">
        <v>263</v>
      </c>
      <c r="AR3" s="5" t="s">
        <v>263</v>
      </c>
      <c r="AS3" s="5" t="s">
        <v>263</v>
      </c>
      <c r="AT3" s="5" t="s">
        <v>263</v>
      </c>
      <c r="AU3" s="5" t="s">
        <v>263</v>
      </c>
      <c r="AV3" s="5" t="s">
        <v>263</v>
      </c>
      <c r="AW3" s="5"/>
      <c r="AZ3" s="5"/>
      <c r="BA3" s="5" t="s">
        <v>9</v>
      </c>
      <c r="BB3" s="2">
        <v>6.1566578514284105E-2</v>
      </c>
      <c r="BC3" s="12">
        <v>5.5854570852446758E-2</v>
      </c>
      <c r="BD3" s="15">
        <v>3.4643387180154528E-2</v>
      </c>
      <c r="BE3" s="18">
        <v>3.0517998739808073E-2</v>
      </c>
      <c r="BG3" s="2" t="s">
        <v>2</v>
      </c>
      <c r="BH3" s="12" t="s">
        <v>3</v>
      </c>
      <c r="BI3" s="14" t="s">
        <v>261</v>
      </c>
      <c r="BJ3" s="17" t="s">
        <v>288</v>
      </c>
    </row>
    <row r="4" spans="1:62" x14ac:dyDescent="0.2">
      <c r="A4" s="3" t="s">
        <v>10</v>
      </c>
      <c r="B4" s="3">
        <v>82.3</v>
      </c>
      <c r="C4" s="3">
        <v>86</v>
      </c>
      <c r="D4" s="3">
        <v>14.473000000000001</v>
      </c>
      <c r="E4" s="3">
        <v>68.2</v>
      </c>
      <c r="F4" s="3">
        <v>52.9</v>
      </c>
      <c r="G4" s="3">
        <v>183.8</v>
      </c>
      <c r="H4" s="3">
        <v>37.091000000000001</v>
      </c>
      <c r="I4" s="3">
        <v>114.2</v>
      </c>
      <c r="J4" s="3">
        <v>10.78</v>
      </c>
      <c r="K4" s="3">
        <v>86.4</v>
      </c>
      <c r="L4" s="3">
        <v>27182.039063</v>
      </c>
      <c r="N4" s="5">
        <v>6.0734894062530742E-4</v>
      </c>
      <c r="O4" s="5">
        <v>3.4823018358745017E-3</v>
      </c>
      <c r="P4" s="5">
        <v>4.9624472916973694E-3</v>
      </c>
      <c r="Q4" s="5">
        <v>-1.4673516939494036E-3</v>
      </c>
      <c r="R4" s="5">
        <v>-3.787883316936913E-3</v>
      </c>
      <c r="S4" s="5">
        <v>1.8329354121905617E-2</v>
      </c>
      <c r="T4" s="5">
        <v>-4.9189288370383721E-3</v>
      </c>
      <c r="U4" s="5">
        <v>-5.2677909348588514E-3</v>
      </c>
      <c r="V4" s="5">
        <v>5.5504305306488533E-3</v>
      </c>
      <c r="W4" s="5">
        <v>-1.5748356968139809E-2</v>
      </c>
      <c r="X4" s="5">
        <v>2.880120315310819E-3</v>
      </c>
      <c r="Z4" s="6">
        <v>2</v>
      </c>
      <c r="AA4" s="23">
        <v>0.36215342477931312</v>
      </c>
      <c r="AB4" s="23">
        <v>0.99999999999999989</v>
      </c>
      <c r="AC4" s="23">
        <v>0.55799775874232571</v>
      </c>
      <c r="AD4" s="23">
        <v>0.34268958945954031</v>
      </c>
      <c r="AE4" s="23">
        <v>0.39570173969407368</v>
      </c>
      <c r="AF4" s="23">
        <v>0.55038853150632394</v>
      </c>
      <c r="AG4" s="23">
        <v>0.48040424940890342</v>
      </c>
      <c r="AH4" s="23">
        <v>0.50071672490810004</v>
      </c>
      <c r="AI4" s="23">
        <v>0.41319972392736293</v>
      </c>
      <c r="AJ4" s="23">
        <v>0.33488252861701051</v>
      </c>
      <c r="AL4" s="8" t="s">
        <v>8</v>
      </c>
      <c r="AM4" s="3">
        <v>81.8</v>
      </c>
      <c r="AN4" s="3">
        <v>86.25</v>
      </c>
      <c r="AO4" s="3">
        <v>14.345000000000001</v>
      </c>
      <c r="AP4" s="3">
        <v>66.900000000000006</v>
      </c>
      <c r="AQ4" s="3">
        <v>53</v>
      </c>
      <c r="AR4" s="3">
        <v>180.6</v>
      </c>
      <c r="AS4" s="3">
        <v>36.545000000000002</v>
      </c>
      <c r="AT4" s="3">
        <v>111.5</v>
      </c>
      <c r="AU4" s="3">
        <v>10.52</v>
      </c>
      <c r="AV4" s="3">
        <v>86.5</v>
      </c>
      <c r="AZ4" s="5"/>
      <c r="BA4" s="5" t="s">
        <v>284</v>
      </c>
      <c r="BB4" s="2">
        <v>0.91980368684250891</v>
      </c>
      <c r="BC4" s="12">
        <v>0.92062770405065986</v>
      </c>
      <c r="BD4" s="14">
        <v>0.96984852703561375</v>
      </c>
      <c r="BE4" s="17">
        <v>0.99685484977098704</v>
      </c>
      <c r="BF4" s="3" t="s">
        <v>300</v>
      </c>
      <c r="BG4" s="2">
        <v>0.78378279284291141</v>
      </c>
      <c r="BH4" s="12">
        <v>0.72537003049904714</v>
      </c>
      <c r="BI4" s="14">
        <v>0.49272786495513621</v>
      </c>
      <c r="BJ4" s="17">
        <v>8.286363460976863E-2</v>
      </c>
    </row>
    <row r="5" spans="1:62" x14ac:dyDescent="0.2">
      <c r="A5" s="3" t="s">
        <v>12</v>
      </c>
      <c r="B5" s="3">
        <v>82.35</v>
      </c>
      <c r="C5" s="3">
        <v>86.3</v>
      </c>
      <c r="D5" s="3">
        <v>14.545</v>
      </c>
      <c r="E5" s="3">
        <v>68.099999999999994</v>
      </c>
      <c r="F5" s="3">
        <v>52.7</v>
      </c>
      <c r="G5" s="3">
        <v>187.2</v>
      </c>
      <c r="H5" s="3">
        <v>36.908999999999999</v>
      </c>
      <c r="I5" s="3">
        <v>113.6</v>
      </c>
      <c r="J5" s="3">
        <v>10.84</v>
      </c>
      <c r="K5" s="3">
        <v>85.05</v>
      </c>
      <c r="L5" s="3">
        <v>27260.439452999999</v>
      </c>
      <c r="N5" s="5">
        <v>-2.0859652052431343E-2</v>
      </c>
      <c r="O5" s="5">
        <v>2.0075236852833633E-2</v>
      </c>
      <c r="P5" s="5">
        <v>-4.9624472916973694E-3</v>
      </c>
      <c r="Q5" s="5">
        <v>-2.6787315963650471E-2</v>
      </c>
      <c r="R5" s="5">
        <v>-2.8503582243564196E-3</v>
      </c>
      <c r="S5" s="5">
        <v>-2.1599111803461746E-2</v>
      </c>
      <c r="T5" s="5">
        <v>-1.4876149486529933E-2</v>
      </c>
      <c r="U5" s="5">
        <v>-5.2956875747103282E-3</v>
      </c>
      <c r="V5" s="5">
        <v>-1.4870162479451388E-2</v>
      </c>
      <c r="W5" s="5">
        <v>-1.2422519998557036E-2</v>
      </c>
      <c r="X5" s="5">
        <v>-1.6300612183533403E-2</v>
      </c>
      <c r="Z5" s="6">
        <v>3</v>
      </c>
      <c r="AA5" s="23">
        <v>0.36037989031003642</v>
      </c>
      <c r="AB5" s="23">
        <v>0.55799775874232571</v>
      </c>
      <c r="AC5" s="23">
        <v>1.0000000000000002</v>
      </c>
      <c r="AD5" s="23">
        <v>0.40013646680270498</v>
      </c>
      <c r="AE5" s="23">
        <v>0.4267321819353036</v>
      </c>
      <c r="AF5" s="23">
        <v>0.5522376250973855</v>
      </c>
      <c r="AG5" s="23">
        <v>0.56138415103168993</v>
      </c>
      <c r="AH5" s="23">
        <v>0.48323984741241593</v>
      </c>
      <c r="AI5" s="23">
        <v>0.47425315487426095</v>
      </c>
      <c r="AJ5" s="23">
        <v>0.36223918126786819</v>
      </c>
      <c r="AL5" s="8" t="s">
        <v>262</v>
      </c>
      <c r="AM5" s="3">
        <v>1.2224938875305626E-3</v>
      </c>
      <c r="AN5" s="3">
        <v>1.1594202898550724E-3</v>
      </c>
      <c r="AO5" s="3">
        <v>6.9710700592540958E-3</v>
      </c>
      <c r="AP5" s="3">
        <v>1.4947683109118087E-3</v>
      </c>
      <c r="AQ5" s="3">
        <v>1.8867924528301887E-3</v>
      </c>
      <c r="AR5" s="3">
        <v>5.5370985603543752E-4</v>
      </c>
      <c r="AS5" s="3">
        <v>2.7363524421945549E-3</v>
      </c>
      <c r="AT5" s="3">
        <v>8.9686098654708521E-4</v>
      </c>
      <c r="AU5" s="3">
        <v>9.5057034220532334E-3</v>
      </c>
      <c r="AV5" s="3">
        <v>1.1560693641618498E-3</v>
      </c>
      <c r="AZ5" s="3" t="s">
        <v>7</v>
      </c>
      <c r="BA5" s="3">
        <v>0</v>
      </c>
      <c r="BB5" s="3">
        <v>0.99999999999999989</v>
      </c>
      <c r="BC5" s="3">
        <v>1</v>
      </c>
      <c r="BD5" s="3">
        <v>0.8737650937356819</v>
      </c>
      <c r="BE5" s="3">
        <v>0.44078468814153199</v>
      </c>
      <c r="BG5" s="3">
        <v>1.0951343521815765E-2</v>
      </c>
      <c r="BH5" s="3">
        <v>9.5663237061905017E-3</v>
      </c>
      <c r="BI5" s="3">
        <v>1.6273586524228334E-3</v>
      </c>
      <c r="BJ5" s="3">
        <v>-1.2605305907785413E-2</v>
      </c>
    </row>
    <row r="6" spans="1:62" x14ac:dyDescent="0.2">
      <c r="A6" s="3" t="s">
        <v>13</v>
      </c>
      <c r="B6" s="3">
        <v>80.650000000000006</v>
      </c>
      <c r="C6" s="3">
        <v>88.05</v>
      </c>
      <c r="D6" s="3">
        <v>14.473000000000001</v>
      </c>
      <c r="E6" s="3">
        <v>66.3</v>
      </c>
      <c r="F6" s="3">
        <v>52.55</v>
      </c>
      <c r="G6" s="3">
        <v>183.2</v>
      </c>
      <c r="H6" s="3">
        <v>36.363999999999997</v>
      </c>
      <c r="I6" s="3">
        <v>113</v>
      </c>
      <c r="J6" s="3">
        <v>10.68</v>
      </c>
      <c r="K6" s="3">
        <v>84</v>
      </c>
      <c r="L6" s="3">
        <v>26819.679688</v>
      </c>
      <c r="N6" s="5">
        <v>-2.2571491162170609E-2</v>
      </c>
      <c r="O6" s="5">
        <v>-2.8433343011444734E-3</v>
      </c>
      <c r="P6" s="5">
        <v>2.4843018780802417E-3</v>
      </c>
      <c r="Q6" s="5">
        <v>-2.0572154075208182E-2</v>
      </c>
      <c r="R6" s="5">
        <v>2.8503582243564196E-3</v>
      </c>
      <c r="S6" s="5">
        <v>-1.7066200058120096E-2</v>
      </c>
      <c r="T6" s="5">
        <v>-5.0175166605419541E-3</v>
      </c>
      <c r="U6" s="5">
        <v>-7.1048256237444818E-3</v>
      </c>
      <c r="V6" s="5">
        <v>-7.5188324140271767E-3</v>
      </c>
      <c r="W6" s="5">
        <v>-1.4388737452099676E-2</v>
      </c>
      <c r="X6" s="5">
        <v>-2.5042764104867388E-2</v>
      </c>
      <c r="Z6" s="6">
        <v>4</v>
      </c>
      <c r="AA6" s="23">
        <v>0.50883145665935137</v>
      </c>
      <c r="AB6" s="23">
        <v>0.34268958945954031</v>
      </c>
      <c r="AC6" s="23">
        <v>0.40013646680270498</v>
      </c>
      <c r="AD6" s="23">
        <v>0.99999999999999989</v>
      </c>
      <c r="AE6" s="23">
        <v>0.39461112097133844</v>
      </c>
      <c r="AF6" s="23">
        <v>0.67584469170832584</v>
      </c>
      <c r="AG6" s="23">
        <v>0.5611750625387677</v>
      </c>
      <c r="AH6" s="23">
        <v>0.53789445546739967</v>
      </c>
      <c r="AI6" s="23">
        <v>0.473474291371833</v>
      </c>
      <c r="AJ6" s="23">
        <v>0.42636606892974049</v>
      </c>
      <c r="AZ6" s="3" t="s">
        <v>10</v>
      </c>
      <c r="BA6" s="3">
        <v>1</v>
      </c>
      <c r="BB6" s="3">
        <v>1.0110115289875348</v>
      </c>
      <c r="BC6" s="3">
        <v>1.0096122272400734</v>
      </c>
      <c r="BD6" s="3">
        <v>0.87518818054340963</v>
      </c>
      <c r="BE6" s="3">
        <v>0.43526333459214567</v>
      </c>
      <c r="BG6" s="3">
        <v>2.375178864308259E-4</v>
      </c>
      <c r="BH6" s="3">
        <v>3.2683767875641215E-4</v>
      </c>
      <c r="BI6" s="3">
        <v>1.3267172566350793E-3</v>
      </c>
      <c r="BJ6" s="3">
        <v>1.8143589370457347E-3</v>
      </c>
    </row>
    <row r="7" spans="1:62" x14ac:dyDescent="0.2">
      <c r="A7" s="3" t="s">
        <v>14</v>
      </c>
      <c r="B7" s="3">
        <v>78.849999999999994</v>
      </c>
      <c r="C7" s="3">
        <v>87.8</v>
      </c>
      <c r="D7" s="3">
        <v>14.509</v>
      </c>
      <c r="E7" s="3">
        <v>64.95</v>
      </c>
      <c r="F7" s="3">
        <v>52.7</v>
      </c>
      <c r="G7" s="3">
        <v>180.1</v>
      </c>
      <c r="H7" s="3">
        <v>36.182000000000002</v>
      </c>
      <c r="I7" s="3">
        <v>112.2</v>
      </c>
      <c r="J7" s="3">
        <v>10.6</v>
      </c>
      <c r="K7" s="3">
        <v>82.8</v>
      </c>
      <c r="L7" s="3">
        <v>26156.380859000001</v>
      </c>
      <c r="N7" s="5">
        <v>-4.4486886206840381E-3</v>
      </c>
      <c r="O7" s="5">
        <v>1.019838867446321E-2</v>
      </c>
      <c r="P7" s="5">
        <v>-1.2413794697607727E-3</v>
      </c>
      <c r="Q7" s="5">
        <v>-1.9433180538491079E-2</v>
      </c>
      <c r="R7" s="5">
        <v>9.4429408002820736E-3</v>
      </c>
      <c r="S7" s="5">
        <v>4.9847790839159245E-3</v>
      </c>
      <c r="T7" s="5">
        <v>1.2429395736264226E-3</v>
      </c>
      <c r="U7" s="5">
        <v>8.8731726804862632E-3</v>
      </c>
      <c r="V7" s="5">
        <v>9.3897403498388599E-3</v>
      </c>
      <c r="W7" s="5">
        <v>-1.0318756201375123E-2</v>
      </c>
      <c r="X7" s="5">
        <v>-3.5473359135735905E-3</v>
      </c>
      <c r="Z7" s="6">
        <v>5</v>
      </c>
      <c r="AA7" s="23">
        <v>0.49089019638846437</v>
      </c>
      <c r="AB7" s="23">
        <v>0.39570173969407368</v>
      </c>
      <c r="AC7" s="23">
        <v>0.4267321819353036</v>
      </c>
      <c r="AD7" s="23">
        <v>0.39461112097133844</v>
      </c>
      <c r="AE7" s="23">
        <v>1</v>
      </c>
      <c r="AF7" s="23">
        <v>0.42098771357952025</v>
      </c>
      <c r="AG7" s="23">
        <v>0.47140145439149944</v>
      </c>
      <c r="AH7" s="23">
        <v>0.49964942112808775</v>
      </c>
      <c r="AI7" s="23">
        <v>0.49887498975902206</v>
      </c>
      <c r="AJ7" s="23">
        <v>0.40407121645362704</v>
      </c>
      <c r="AL7" s="11" t="s">
        <v>280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Z7" s="3" t="s">
        <v>12</v>
      </c>
      <c r="BA7" s="3">
        <v>2</v>
      </c>
      <c r="BB7" s="3">
        <v>1.0112516908292946</v>
      </c>
      <c r="BC7" s="3">
        <v>1.009942260487581</v>
      </c>
      <c r="BD7" s="3">
        <v>0.87635007838987233</v>
      </c>
      <c r="BE7" s="3">
        <v>0.43605377536803669</v>
      </c>
      <c r="BG7" s="3">
        <v>-1.0441276540519899E-2</v>
      </c>
      <c r="BH7" s="3">
        <v>-9.7012565286182968E-3</v>
      </c>
      <c r="BI7" s="3">
        <v>2.4823365199659331E-3</v>
      </c>
      <c r="BJ7" s="3">
        <v>1.9501434545932228E-2</v>
      </c>
    </row>
    <row r="8" spans="1:62" x14ac:dyDescent="0.2">
      <c r="A8" s="3" t="s">
        <v>15</v>
      </c>
      <c r="B8" s="3">
        <v>78.5</v>
      </c>
      <c r="C8" s="3">
        <v>88.7</v>
      </c>
      <c r="D8" s="3">
        <v>14.491</v>
      </c>
      <c r="E8" s="3">
        <v>63.7</v>
      </c>
      <c r="F8" s="3">
        <v>53.2</v>
      </c>
      <c r="G8" s="3">
        <v>181</v>
      </c>
      <c r="H8" s="3">
        <v>36.226999999999997</v>
      </c>
      <c r="I8" s="3">
        <v>113.2</v>
      </c>
      <c r="J8" s="3">
        <v>10.7</v>
      </c>
      <c r="K8" s="3">
        <v>81.95</v>
      </c>
      <c r="L8" s="3">
        <v>26063.759765999999</v>
      </c>
      <c r="N8" s="5">
        <v>-3.5000332140037393E-2</v>
      </c>
      <c r="O8" s="5">
        <v>-8.4914181319666326E-3</v>
      </c>
      <c r="P8" s="5">
        <v>-3.8026802832451523E-3</v>
      </c>
      <c r="Q8" s="5">
        <v>7.846214604185775E-4</v>
      </c>
      <c r="R8" s="5">
        <v>-2.8235312876065954E-3</v>
      </c>
      <c r="S8" s="5">
        <v>-2.2347298691997253E-2</v>
      </c>
      <c r="T8" s="5">
        <v>-1.6448334314298485E-2</v>
      </c>
      <c r="U8" s="5">
        <v>-1.7825783952600815E-2</v>
      </c>
      <c r="V8" s="5">
        <v>-2.4599159013367622E-2</v>
      </c>
      <c r="W8" s="5">
        <v>-9.1940580222065194E-3</v>
      </c>
      <c r="X8" s="5">
        <v>-1.201875135695829E-2</v>
      </c>
      <c r="Z8" s="6">
        <v>6</v>
      </c>
      <c r="AA8" s="23">
        <v>0.5618931992659707</v>
      </c>
      <c r="AB8" s="23">
        <v>0.55038853150632394</v>
      </c>
      <c r="AC8" s="23">
        <v>0.5522376250973855</v>
      </c>
      <c r="AD8" s="23">
        <v>0.67584469170832584</v>
      </c>
      <c r="AE8" s="23">
        <v>0.42098771357952025</v>
      </c>
      <c r="AF8" s="23">
        <v>1.0000000000000002</v>
      </c>
      <c r="AG8" s="23">
        <v>0.61617942158267791</v>
      </c>
      <c r="AH8" s="23">
        <v>0.60713383510048557</v>
      </c>
      <c r="AI8" s="23">
        <v>0.58352318392260139</v>
      </c>
      <c r="AJ8" s="23">
        <v>0.50125752894424258</v>
      </c>
      <c r="AL8" s="11"/>
      <c r="AM8" s="12" t="s">
        <v>269</v>
      </c>
      <c r="AN8" s="12" t="s">
        <v>270</v>
      </c>
      <c r="AO8" s="12" t="s">
        <v>271</v>
      </c>
      <c r="AP8" s="12" t="s">
        <v>272</v>
      </c>
      <c r="AQ8" s="12" t="s">
        <v>273</v>
      </c>
      <c r="AR8" s="12" t="s">
        <v>274</v>
      </c>
      <c r="AS8" s="12" t="s">
        <v>275</v>
      </c>
      <c r="AT8" s="12" t="s">
        <v>276</v>
      </c>
      <c r="AU8" s="12" t="s">
        <v>277</v>
      </c>
      <c r="AV8" s="12" t="s">
        <v>278</v>
      </c>
      <c r="AW8" s="12" t="s">
        <v>5</v>
      </c>
      <c r="AZ8" s="3" t="s">
        <v>13</v>
      </c>
      <c r="BA8" s="3">
        <v>3</v>
      </c>
      <c r="BB8" s="3">
        <v>1.0007478643789423</v>
      </c>
      <c r="BC8" s="3">
        <v>1.0001919232712435</v>
      </c>
      <c r="BD8" s="3">
        <v>0.87852817646147585</v>
      </c>
      <c r="BE8" s="3">
        <v>0.4446409080871323</v>
      </c>
      <c r="BG8" s="3">
        <v>-9.0884579572893479E-3</v>
      </c>
      <c r="BH8" s="3">
        <v>-8.5754818020862111E-3</v>
      </c>
      <c r="BI8" s="3">
        <v>4.9751266080488854E-4</v>
      </c>
      <c r="BJ8" s="3">
        <v>1.2858656478819008E-2</v>
      </c>
    </row>
    <row r="9" spans="1:62" x14ac:dyDescent="0.2">
      <c r="A9" s="3" t="s">
        <v>16</v>
      </c>
      <c r="B9" s="3">
        <v>75.8</v>
      </c>
      <c r="C9" s="3">
        <v>87.95</v>
      </c>
      <c r="D9" s="3">
        <v>14.436</v>
      </c>
      <c r="E9" s="3">
        <v>63.75</v>
      </c>
      <c r="F9" s="3">
        <v>53.05</v>
      </c>
      <c r="G9" s="3">
        <v>177</v>
      </c>
      <c r="H9" s="3">
        <v>35.636000000000003</v>
      </c>
      <c r="I9" s="3">
        <v>111.2</v>
      </c>
      <c r="J9" s="3">
        <v>10.44</v>
      </c>
      <c r="K9" s="3">
        <v>81.2</v>
      </c>
      <c r="L9" s="3">
        <v>25752.380859000001</v>
      </c>
      <c r="N9" s="5">
        <v>1.8948623129529274E-2</v>
      </c>
      <c r="O9" s="5">
        <v>-2.8465718054304645E-3</v>
      </c>
      <c r="P9" s="5">
        <v>0</v>
      </c>
      <c r="Q9" s="5">
        <v>-6.2942772713876494E-3</v>
      </c>
      <c r="R9" s="5">
        <v>-1.8867930125763266E-3</v>
      </c>
      <c r="S9" s="5">
        <v>-3.9626431700039433E-3</v>
      </c>
      <c r="T9" s="5">
        <v>-7.662009314839846E-3</v>
      </c>
      <c r="U9" s="5">
        <v>-9.0334850976674375E-3</v>
      </c>
      <c r="V9" s="5">
        <v>1.9138761822841133E-3</v>
      </c>
      <c r="W9" s="5">
        <v>0</v>
      </c>
      <c r="X9" s="5">
        <v>7.4874019448145646E-4</v>
      </c>
      <c r="Z9" s="6">
        <v>7</v>
      </c>
      <c r="AA9" s="23">
        <v>0.57531488761055238</v>
      </c>
      <c r="AB9" s="23">
        <v>0.48040424940890342</v>
      </c>
      <c r="AC9" s="23">
        <v>0.56138415103168993</v>
      </c>
      <c r="AD9" s="23">
        <v>0.5611750625387677</v>
      </c>
      <c r="AE9" s="23">
        <v>0.47140145439149944</v>
      </c>
      <c r="AF9" s="23">
        <v>0.61617942158267791</v>
      </c>
      <c r="AG9" s="23">
        <v>1.0000000000000002</v>
      </c>
      <c r="AH9" s="23">
        <v>0.7702702938116005</v>
      </c>
      <c r="AI9" s="23">
        <v>0.74366255809175141</v>
      </c>
      <c r="AJ9" s="23">
        <v>0.5186492294041336</v>
      </c>
      <c r="AL9" s="8" t="s">
        <v>9</v>
      </c>
      <c r="AM9" s="3">
        <v>1.1682651321216556E-2</v>
      </c>
      <c r="AN9" s="3">
        <v>1.0203628716048343E-2</v>
      </c>
      <c r="AO9" s="3">
        <v>1.0086309908882079E-2</v>
      </c>
      <c r="AP9" s="3">
        <v>9.5262326711039267E-3</v>
      </c>
      <c r="AQ9" s="3">
        <v>8.0868427737283751E-3</v>
      </c>
      <c r="AR9" s="3">
        <v>1.270232702610323E-2</v>
      </c>
      <c r="AS9" s="3">
        <v>1.4782123506867669E-2</v>
      </c>
      <c r="AT9" s="3">
        <v>1.5935923503992384E-2</v>
      </c>
      <c r="AU9" s="3">
        <v>1.8046121564512341E-2</v>
      </c>
      <c r="AV9" s="3">
        <v>1.4044169888526999E-2</v>
      </c>
      <c r="AW9" s="7"/>
      <c r="AZ9" s="3" t="s">
        <v>14</v>
      </c>
      <c r="BA9" s="3">
        <v>4</v>
      </c>
      <c r="BB9" s="3">
        <v>0.99169381548106506</v>
      </c>
      <c r="BC9" s="3">
        <v>0.99165146723520259</v>
      </c>
      <c r="BD9" s="3">
        <v>0.87896536409631332</v>
      </c>
      <c r="BE9" s="3">
        <v>0.4503953104338887</v>
      </c>
      <c r="BG9" s="3">
        <v>1.0595530591855761E-3</v>
      </c>
      <c r="BH9" s="3">
        <v>7.1716127080736786E-4</v>
      </c>
      <c r="BI9" s="3">
        <v>8.5165099492846008E-3</v>
      </c>
      <c r="BJ9" s="3">
        <v>1.7585243581277332E-2</v>
      </c>
    </row>
    <row r="10" spans="1:62" x14ac:dyDescent="0.2">
      <c r="A10" s="3" t="s">
        <v>17</v>
      </c>
      <c r="B10" s="3">
        <v>77.25</v>
      </c>
      <c r="C10" s="3">
        <v>87.7</v>
      </c>
      <c r="D10" s="3">
        <v>14.436</v>
      </c>
      <c r="E10" s="3">
        <v>63.35</v>
      </c>
      <c r="F10" s="3">
        <v>52.95</v>
      </c>
      <c r="G10" s="3">
        <v>176.3</v>
      </c>
      <c r="H10" s="3">
        <v>35.363999999999997</v>
      </c>
      <c r="I10" s="3">
        <v>110.2</v>
      </c>
      <c r="J10" s="3">
        <v>10.46</v>
      </c>
      <c r="K10" s="3">
        <v>81.2</v>
      </c>
      <c r="L10" s="3">
        <v>25771.669922000001</v>
      </c>
      <c r="N10" s="5">
        <v>2.0500397631192158E-2</v>
      </c>
      <c r="O10" s="5">
        <v>-3.9988627980713787E-3</v>
      </c>
      <c r="P10" s="5">
        <v>0</v>
      </c>
      <c r="Q10" s="5">
        <v>1.0208176592523266E-2</v>
      </c>
      <c r="R10" s="5">
        <v>1.8709619656728016E-2</v>
      </c>
      <c r="S10" s="5">
        <v>5.656123676337721E-3</v>
      </c>
      <c r="T10" s="5">
        <v>1.9073804312984333E-2</v>
      </c>
      <c r="U10" s="5">
        <v>1.798609636978199E-2</v>
      </c>
      <c r="V10" s="5">
        <v>1.8939960100921471E-2</v>
      </c>
      <c r="W10" s="5">
        <v>1.2848142477849045E-2</v>
      </c>
      <c r="X10" s="5">
        <v>1.5976242408873631E-2</v>
      </c>
      <c r="Z10" s="6">
        <v>8</v>
      </c>
      <c r="AA10" s="23">
        <v>0.58837852301468729</v>
      </c>
      <c r="AB10" s="23">
        <v>0.50071672490810004</v>
      </c>
      <c r="AC10" s="23">
        <v>0.48323984741241593</v>
      </c>
      <c r="AD10" s="23">
        <v>0.53789445546739967</v>
      </c>
      <c r="AE10" s="23">
        <v>0.49964942112808775</v>
      </c>
      <c r="AF10" s="23">
        <v>0.60713383510048557</v>
      </c>
      <c r="AG10" s="23">
        <v>0.7702702938116005</v>
      </c>
      <c r="AH10" s="23">
        <v>0.99999999999999978</v>
      </c>
      <c r="AI10" s="23">
        <v>0.79051711696250881</v>
      </c>
      <c r="AJ10" s="23">
        <v>0.59424895927800225</v>
      </c>
      <c r="AL10" s="8" t="s">
        <v>259</v>
      </c>
      <c r="AM10" s="3">
        <v>85.597008119546146</v>
      </c>
      <c r="AN10" s="3">
        <v>98.00435000415024</v>
      </c>
      <c r="AO10" s="3">
        <v>99.144286566030715</v>
      </c>
      <c r="AP10" s="3">
        <v>104.97329159651075</v>
      </c>
      <c r="AQ10" s="3">
        <v>123.65765329934291</v>
      </c>
      <c r="AR10" s="3">
        <v>78.725732532708705</v>
      </c>
      <c r="AS10" s="3">
        <v>67.649279180721706</v>
      </c>
      <c r="AT10" s="3">
        <v>62.751305234960043</v>
      </c>
      <c r="AU10" s="3">
        <v>55.413568861605022</v>
      </c>
      <c r="AV10" s="3">
        <v>71.203923616512412</v>
      </c>
      <c r="AW10" s="3">
        <v>847.12039901208846</v>
      </c>
      <c r="AZ10" s="3" t="s">
        <v>15</v>
      </c>
      <c r="BA10" s="3">
        <v>5</v>
      </c>
      <c r="BB10" s="3">
        <v>0.99274512455755293</v>
      </c>
      <c r="BC10" s="3">
        <v>0.99236289633585006</v>
      </c>
      <c r="BD10" s="3">
        <v>0.88648304814152912</v>
      </c>
      <c r="BE10" s="3">
        <v>0.45838567199179953</v>
      </c>
      <c r="BG10" s="3">
        <v>-1.392305620349758E-2</v>
      </c>
      <c r="BH10" s="3">
        <v>-1.2303217265586489E-2</v>
      </c>
      <c r="BI10" s="3">
        <v>-8.9108059363750824E-3</v>
      </c>
      <c r="BJ10" s="3">
        <v>-2.0958930447316781E-3</v>
      </c>
    </row>
    <row r="11" spans="1:62" x14ac:dyDescent="0.2">
      <c r="A11" s="3" t="s">
        <v>18</v>
      </c>
      <c r="B11" s="3">
        <v>78.849999999999994</v>
      </c>
      <c r="C11" s="3">
        <v>87.35</v>
      </c>
      <c r="D11" s="3">
        <v>14.436</v>
      </c>
      <c r="E11" s="3">
        <v>64</v>
      </c>
      <c r="F11" s="3">
        <v>53.95</v>
      </c>
      <c r="G11" s="3">
        <v>177.3</v>
      </c>
      <c r="H11" s="3">
        <v>36.045000000000002</v>
      </c>
      <c r="I11" s="3">
        <v>112.2</v>
      </c>
      <c r="J11" s="3">
        <v>10.66</v>
      </c>
      <c r="K11" s="3">
        <v>82.25</v>
      </c>
      <c r="L11" s="3">
        <v>26186.710938</v>
      </c>
      <c r="N11" s="5">
        <v>6.3391444278160236E-4</v>
      </c>
      <c r="O11" s="5">
        <v>3.4285747871773964E-3</v>
      </c>
      <c r="P11" s="5">
        <v>5.044059753005925E-3</v>
      </c>
      <c r="Q11" s="5">
        <v>1.8576385572935727E-2</v>
      </c>
      <c r="R11" s="5">
        <v>4.6232167414568259E-3</v>
      </c>
      <c r="S11" s="5">
        <v>1.1774736544532871E-2</v>
      </c>
      <c r="T11" s="5">
        <v>1.0047838971482648E-2</v>
      </c>
      <c r="U11" s="5">
        <v>2.4649135274653844E-2</v>
      </c>
      <c r="V11" s="5">
        <v>2.0427822690098463E-2</v>
      </c>
      <c r="W11" s="5">
        <v>3.0349036951538011E-3</v>
      </c>
      <c r="X11" s="5">
        <v>1.2811098292251799E-2</v>
      </c>
      <c r="Z11" s="6">
        <v>9</v>
      </c>
      <c r="AA11" s="23">
        <v>0.57565813531131604</v>
      </c>
      <c r="AB11" s="23">
        <v>0.41319972392736293</v>
      </c>
      <c r="AC11" s="23">
        <v>0.47425315487426095</v>
      </c>
      <c r="AD11" s="23">
        <v>0.473474291371833</v>
      </c>
      <c r="AE11" s="23">
        <v>0.49887498975902206</v>
      </c>
      <c r="AF11" s="23">
        <v>0.58352318392260139</v>
      </c>
      <c r="AG11" s="23">
        <v>0.74366255809175141</v>
      </c>
      <c r="AH11" s="23">
        <v>0.79051711696250881</v>
      </c>
      <c r="AI11" s="23">
        <v>0.99999999999999978</v>
      </c>
      <c r="AJ11" s="23">
        <v>0.55200922787806661</v>
      </c>
      <c r="AL11" s="8" t="s">
        <v>11</v>
      </c>
      <c r="AM11" s="3">
        <v>0.10104467820556481</v>
      </c>
      <c r="AN11" s="3">
        <v>0.11569116989561683</v>
      </c>
      <c r="AO11" s="3">
        <v>0.11703683051624392</v>
      </c>
      <c r="AP11" s="3">
        <v>0.12391779458850308</v>
      </c>
      <c r="AQ11" s="3">
        <v>0.14597411825231976</v>
      </c>
      <c r="AR11" s="3">
        <v>9.2933345277151427E-2</v>
      </c>
      <c r="AS11" s="3">
        <v>7.9857927231612266E-2</v>
      </c>
      <c r="AT11" s="3">
        <v>7.4076017184972281E-2</v>
      </c>
      <c r="AU11" s="3">
        <v>6.5414041411620244E-2</v>
      </c>
      <c r="AV11" s="3">
        <v>8.4054077436395591E-2</v>
      </c>
      <c r="AW11" s="3">
        <v>1</v>
      </c>
      <c r="AZ11" s="3" t="s">
        <v>16</v>
      </c>
      <c r="BA11" s="3">
        <v>6</v>
      </c>
      <c r="BB11" s="3">
        <v>0.97901885593476323</v>
      </c>
      <c r="BC11" s="3">
        <v>0.98022843951010719</v>
      </c>
      <c r="BD11" s="3">
        <v>0.87861885989755539</v>
      </c>
      <c r="BE11" s="3">
        <v>0.45742595073793701</v>
      </c>
      <c r="BG11" s="3">
        <v>-1.1676223485776946E-3</v>
      </c>
      <c r="BH11" s="3">
        <v>-1.0769779208498961E-3</v>
      </c>
      <c r="BI11" s="3">
        <v>3.2401852863572778E-6</v>
      </c>
      <c r="BJ11" s="3">
        <v>2.437214341699856E-3</v>
      </c>
    </row>
    <row r="12" spans="1:62" x14ac:dyDescent="0.2">
      <c r="A12" s="3" t="s">
        <v>19</v>
      </c>
      <c r="B12" s="3">
        <v>78.900000000000006</v>
      </c>
      <c r="C12" s="3">
        <v>87.65</v>
      </c>
      <c r="D12" s="3">
        <v>14.509</v>
      </c>
      <c r="E12" s="3">
        <v>65.2</v>
      </c>
      <c r="F12" s="3">
        <v>54.2</v>
      </c>
      <c r="G12" s="3">
        <v>179.4</v>
      </c>
      <c r="H12" s="3">
        <v>36.408999999999999</v>
      </c>
      <c r="I12" s="3">
        <v>115</v>
      </c>
      <c r="J12" s="3">
        <v>10.88</v>
      </c>
      <c r="K12" s="3">
        <v>82.5</v>
      </c>
      <c r="L12" s="3">
        <v>26524.349609000001</v>
      </c>
      <c r="N12" s="5">
        <v>3.7950709685512507E-3</v>
      </c>
      <c r="O12" s="5">
        <v>5.1209215748908576E-3</v>
      </c>
      <c r="P12" s="5">
        <v>6.2523821807429769E-3</v>
      </c>
      <c r="Q12" s="5">
        <v>-1.7015105005983244E-2</v>
      </c>
      <c r="R12" s="5">
        <v>1.8433184942892034E-3</v>
      </c>
      <c r="S12" s="5">
        <v>-6.7114345879861759E-3</v>
      </c>
      <c r="T12" s="5">
        <v>-5.0112996553286493E-3</v>
      </c>
      <c r="U12" s="5">
        <v>-1.3129291441792645E-2</v>
      </c>
      <c r="V12" s="5">
        <v>-1.1090686694158247E-2</v>
      </c>
      <c r="W12" s="5">
        <v>1.2646961700768067E-2</v>
      </c>
      <c r="X12" s="5">
        <v>-1.6327522638068359E-2</v>
      </c>
      <c r="Z12" s="6">
        <v>10</v>
      </c>
      <c r="AA12" s="23">
        <v>0.47384604146905684</v>
      </c>
      <c r="AB12" s="23">
        <v>0.33488252861701051</v>
      </c>
      <c r="AC12" s="23">
        <v>0.36223918126786819</v>
      </c>
      <c r="AD12" s="23">
        <v>0.42636606892974049</v>
      </c>
      <c r="AE12" s="23">
        <v>0.40407121645362704</v>
      </c>
      <c r="AF12" s="23">
        <v>0.50125752894424258</v>
      </c>
      <c r="AG12" s="23">
        <v>0.5186492294041336</v>
      </c>
      <c r="AH12" s="23">
        <v>0.59424895927800225</v>
      </c>
      <c r="AI12" s="23">
        <v>0.55200922787806661</v>
      </c>
      <c r="AJ12" s="23">
        <v>0.99999999999999989</v>
      </c>
      <c r="AL12" s="8" t="s">
        <v>8</v>
      </c>
      <c r="AM12" s="3">
        <v>81.8</v>
      </c>
      <c r="AN12" s="3">
        <v>86.25</v>
      </c>
      <c r="AO12" s="3">
        <v>14.345000000000001</v>
      </c>
      <c r="AP12" s="3">
        <v>66.900000000000006</v>
      </c>
      <c r="AQ12" s="3">
        <v>53</v>
      </c>
      <c r="AR12" s="3">
        <v>180.6</v>
      </c>
      <c r="AS12" s="3">
        <v>36.545000000000002</v>
      </c>
      <c r="AT12" s="3">
        <v>111.5</v>
      </c>
      <c r="AU12" s="3">
        <v>10.52</v>
      </c>
      <c r="AV12" s="3">
        <v>86.5</v>
      </c>
      <c r="AW12" s="7"/>
      <c r="AZ12" s="3" t="s">
        <v>17</v>
      </c>
      <c r="BA12" s="3">
        <v>7</v>
      </c>
      <c r="BB12" s="3">
        <v>0.97787639874796328</v>
      </c>
      <c r="BC12" s="3">
        <v>0.97917332339373042</v>
      </c>
      <c r="BD12" s="3">
        <v>0.87862170679006979</v>
      </c>
      <c r="BE12" s="3">
        <v>0.45854215548793109</v>
      </c>
      <c r="BG12" s="3">
        <v>1.1928540093170814E-2</v>
      </c>
      <c r="BH12" s="3">
        <v>1.1232437020713054E-2</v>
      </c>
      <c r="BI12" s="3">
        <v>9.0298643893746838E-3</v>
      </c>
      <c r="BJ12" s="3">
        <v>6.3676750604606536E-3</v>
      </c>
    </row>
    <row r="13" spans="1:62" x14ac:dyDescent="0.2">
      <c r="A13" s="3" t="s">
        <v>20</v>
      </c>
      <c r="B13" s="3">
        <v>79.2</v>
      </c>
      <c r="C13" s="3">
        <v>88.1</v>
      </c>
      <c r="D13" s="3">
        <v>14.6</v>
      </c>
      <c r="E13" s="3">
        <v>64.099999999999994</v>
      </c>
      <c r="F13" s="3">
        <v>54.3</v>
      </c>
      <c r="G13" s="3">
        <v>178.2</v>
      </c>
      <c r="H13" s="3">
        <v>36.226999999999997</v>
      </c>
      <c r="I13" s="3">
        <v>113.5</v>
      </c>
      <c r="J13" s="3">
        <v>10.76</v>
      </c>
      <c r="K13" s="3">
        <v>83.55</v>
      </c>
      <c r="L13" s="3">
        <v>26094.789063</v>
      </c>
      <c r="N13" s="5">
        <v>5.6657375356774509E-3</v>
      </c>
      <c r="O13" s="5">
        <v>1.6324595564586986E-2</v>
      </c>
      <c r="P13" s="5">
        <v>6.2135326739993779E-3</v>
      </c>
      <c r="Q13" s="5">
        <v>2.3373598487053115E-3</v>
      </c>
      <c r="R13" s="5">
        <v>1.098912157559484E-2</v>
      </c>
      <c r="S13" s="5">
        <v>-2.2471919569051479E-3</v>
      </c>
      <c r="T13" s="5">
        <v>-3.7611703953608355E-3</v>
      </c>
      <c r="U13" s="5">
        <v>3.5180335316793432E-3</v>
      </c>
      <c r="V13" s="5">
        <v>5.5607186846970968E-3</v>
      </c>
      <c r="W13" s="5">
        <v>1.0122146560508583E-2</v>
      </c>
      <c r="X13" s="5">
        <v>-2.60951808410681E-4</v>
      </c>
      <c r="AL13" s="8" t="s">
        <v>262</v>
      </c>
      <c r="AM13" s="3">
        <v>1.2352650147379562E-3</v>
      </c>
      <c r="AN13" s="3">
        <v>1.3413468973404849E-3</v>
      </c>
      <c r="AO13" s="3">
        <v>8.1587194504178402E-3</v>
      </c>
      <c r="AP13" s="3">
        <v>1.852283925089732E-3</v>
      </c>
      <c r="AQ13" s="3">
        <v>2.7542286462701841E-3</v>
      </c>
      <c r="AR13" s="3">
        <v>5.1458109234303118E-4</v>
      </c>
      <c r="AS13" s="3">
        <v>2.1851943420881726E-3</v>
      </c>
      <c r="AT13" s="3">
        <v>6.6435889851993075E-4</v>
      </c>
      <c r="AU13" s="3">
        <v>6.2180647729677043E-3</v>
      </c>
      <c r="AV13" s="3">
        <v>9.7172343857104728E-4</v>
      </c>
      <c r="AW13" s="7"/>
      <c r="AZ13" s="3" t="s">
        <v>18</v>
      </c>
      <c r="BA13" s="3">
        <v>8</v>
      </c>
      <c r="BB13" s="3">
        <v>0.9896108850805303</v>
      </c>
      <c r="BC13" s="3">
        <v>0.99023382800225868</v>
      </c>
      <c r="BD13" s="3">
        <v>0.88659147044099507</v>
      </c>
      <c r="BE13" s="3">
        <v>0.46147131901892113</v>
      </c>
      <c r="BG13" s="3">
        <v>1.0287896295458909E-2</v>
      </c>
      <c r="BH13" s="3">
        <v>9.3660942417476654E-3</v>
      </c>
      <c r="BI13" s="3">
        <v>4.3439139886316813E-3</v>
      </c>
      <c r="BJ13" s="3">
        <v>-4.1905316963775086E-3</v>
      </c>
    </row>
    <row r="14" spans="1:62" x14ac:dyDescent="0.2">
      <c r="A14" s="3" t="s">
        <v>21</v>
      </c>
      <c r="B14" s="3">
        <v>79.650000000000006</v>
      </c>
      <c r="C14" s="3">
        <v>89.55</v>
      </c>
      <c r="D14" s="3">
        <v>14.691000000000001</v>
      </c>
      <c r="E14" s="3">
        <v>64.25</v>
      </c>
      <c r="F14" s="3">
        <v>54.9</v>
      </c>
      <c r="G14" s="3">
        <v>177.8</v>
      </c>
      <c r="H14" s="3">
        <v>36.091000000000001</v>
      </c>
      <c r="I14" s="3">
        <v>113.9</v>
      </c>
      <c r="J14" s="3">
        <v>10.82</v>
      </c>
      <c r="K14" s="3">
        <v>84.4</v>
      </c>
      <c r="L14" s="3">
        <v>26087.980468999998</v>
      </c>
      <c r="N14" s="5">
        <v>-1.9011979488571917E-2</v>
      </c>
      <c r="O14" s="5">
        <v>-4.4767841975712486E-3</v>
      </c>
      <c r="P14" s="5">
        <v>-6.2135326739993779E-3</v>
      </c>
      <c r="Q14" s="5">
        <v>-7.0285334245854258E-3</v>
      </c>
      <c r="R14" s="5">
        <v>-8.2304991365149682E-3</v>
      </c>
      <c r="S14" s="5">
        <v>-4.509590505975325E-3</v>
      </c>
      <c r="T14" s="5">
        <v>6.2699593602699721E-3</v>
      </c>
      <c r="U14" s="5">
        <v>-6.1647046840542785E-3</v>
      </c>
      <c r="V14" s="5">
        <v>0</v>
      </c>
      <c r="W14" s="5">
        <v>-2.9664809650968849E-3</v>
      </c>
      <c r="X14" s="5">
        <v>-1.054802479501582E-2</v>
      </c>
      <c r="Z14" s="3" t="s">
        <v>22</v>
      </c>
      <c r="AZ14" s="3" t="s">
        <v>19</v>
      </c>
      <c r="BA14" s="3">
        <v>9</v>
      </c>
      <c r="BB14" s="3">
        <v>0.99984444990534793</v>
      </c>
      <c r="BC14" s="3">
        <v>0.99955202077374539</v>
      </c>
      <c r="BD14" s="3">
        <v>0.89045112446502661</v>
      </c>
      <c r="BE14" s="3">
        <v>0.45954155502217719</v>
      </c>
      <c r="BG14" s="3">
        <v>-2.3704578593036541E-3</v>
      </c>
      <c r="BH14" s="3">
        <v>-1.7854516681375023E-3</v>
      </c>
      <c r="BI14" s="3">
        <v>3.9037049408388452E-3</v>
      </c>
      <c r="BJ14" s="3">
        <v>1.266849094094169E-2</v>
      </c>
    </row>
    <row r="15" spans="1:62" x14ac:dyDescent="0.2">
      <c r="A15" s="3" t="s">
        <v>23</v>
      </c>
      <c r="B15" s="3">
        <v>78.150000000000006</v>
      </c>
      <c r="C15" s="3">
        <v>89.15</v>
      </c>
      <c r="D15" s="3">
        <v>14.6</v>
      </c>
      <c r="E15" s="3">
        <v>63.8</v>
      </c>
      <c r="F15" s="3">
        <v>54.45</v>
      </c>
      <c r="G15" s="3">
        <v>177</v>
      </c>
      <c r="H15" s="3">
        <v>36.317999999999998</v>
      </c>
      <c r="I15" s="3">
        <v>113.2</v>
      </c>
      <c r="J15" s="3">
        <v>10.82</v>
      </c>
      <c r="K15" s="3">
        <v>84.15</v>
      </c>
      <c r="L15" s="3">
        <v>25814.25</v>
      </c>
      <c r="N15" s="5">
        <v>5.1053078341443126E-3</v>
      </c>
      <c r="O15" s="5">
        <v>-9.580236699235023E-3</v>
      </c>
      <c r="P15" s="5">
        <v>-2.4687984011038111E-3</v>
      </c>
      <c r="Q15" s="5">
        <v>4.6911735758801143E-3</v>
      </c>
      <c r="R15" s="5">
        <v>-1.8382358117512432E-3</v>
      </c>
      <c r="S15" s="5">
        <v>-5.6657375356774509E-3</v>
      </c>
      <c r="T15" s="5">
        <v>6.2308917947500042E-3</v>
      </c>
      <c r="U15" s="5">
        <v>1.4906019085627165E-2</v>
      </c>
      <c r="V15" s="5">
        <v>7.3665158167623979E-3</v>
      </c>
      <c r="W15" s="5">
        <v>-6.5574005461588314E-3</v>
      </c>
      <c r="X15" s="5">
        <v>1.9791407631579716E-3</v>
      </c>
      <c r="Z15" s="6"/>
      <c r="AA15" s="6" t="s">
        <v>269</v>
      </c>
      <c r="AB15" s="6" t="s">
        <v>270</v>
      </c>
      <c r="AC15" s="6" t="s">
        <v>271</v>
      </c>
      <c r="AD15" s="6" t="s">
        <v>272</v>
      </c>
      <c r="AE15" s="6" t="s">
        <v>273</v>
      </c>
      <c r="AF15" s="6" t="s">
        <v>274</v>
      </c>
      <c r="AG15" s="6" t="s">
        <v>275</v>
      </c>
      <c r="AH15" s="6" t="s">
        <v>276</v>
      </c>
      <c r="AI15" s="6" t="s">
        <v>277</v>
      </c>
      <c r="AJ15" s="6" t="s">
        <v>278</v>
      </c>
      <c r="AL15" s="13" t="s">
        <v>281</v>
      </c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Z15" s="3" t="s">
        <v>20</v>
      </c>
      <c r="BA15" s="3">
        <v>10</v>
      </c>
      <c r="BB15" s="3">
        <v>0.997477167650895</v>
      </c>
      <c r="BC15" s="3">
        <v>0.99776896120787817</v>
      </c>
      <c r="BD15" s="3">
        <v>0.89393397650963835</v>
      </c>
      <c r="BE15" s="3">
        <v>0.46540028532912181</v>
      </c>
      <c r="BG15" s="3">
        <v>5.5387024639529372E-3</v>
      </c>
      <c r="BH15" s="3">
        <v>6.130309169698837E-3</v>
      </c>
      <c r="BI15" s="3">
        <v>1.0608172054025047E-2</v>
      </c>
      <c r="BJ15" s="3">
        <v>1.7649751270473413E-2</v>
      </c>
    </row>
    <row r="16" spans="1:62" x14ac:dyDescent="0.2">
      <c r="A16" s="3" t="s">
        <v>24</v>
      </c>
      <c r="B16" s="3">
        <v>78.55</v>
      </c>
      <c r="C16" s="3">
        <v>88.3</v>
      </c>
      <c r="D16" s="3">
        <v>14.564</v>
      </c>
      <c r="E16" s="3">
        <v>64.099999999999994</v>
      </c>
      <c r="F16" s="3">
        <v>54.35</v>
      </c>
      <c r="G16" s="3">
        <v>176</v>
      </c>
      <c r="H16" s="3">
        <v>36.545000000000002</v>
      </c>
      <c r="I16" s="3">
        <v>114.9</v>
      </c>
      <c r="J16" s="3">
        <v>10.9</v>
      </c>
      <c r="K16" s="3">
        <v>83.6</v>
      </c>
      <c r="L16" s="3">
        <v>25865.390625</v>
      </c>
      <c r="N16" s="5">
        <v>-1.1523815106933455E-2</v>
      </c>
      <c r="O16" s="5">
        <v>2.2624444039687219E-3</v>
      </c>
      <c r="P16" s="5">
        <v>1.2351610710514827E-3</v>
      </c>
      <c r="Q16" s="5">
        <v>-8.6173662911610549E-3</v>
      </c>
      <c r="R16" s="5">
        <v>0</v>
      </c>
      <c r="S16" s="5">
        <v>-1.0279930619748967E-2</v>
      </c>
      <c r="T16" s="5">
        <v>-2.2637672478386772E-2</v>
      </c>
      <c r="U16" s="5">
        <v>-6.1108876327997663E-3</v>
      </c>
      <c r="V16" s="5">
        <v>-2.226437049739971E-2</v>
      </c>
      <c r="W16" s="5">
        <v>-5.9826504925286628E-4</v>
      </c>
      <c r="X16" s="5">
        <v>-9.3947632727822139E-3</v>
      </c>
      <c r="Z16" s="6" t="s">
        <v>269</v>
      </c>
      <c r="AA16" s="19">
        <f t="array" ref="AA16:AJ25">eigenvalue(AA3:AJ12)</f>
        <v>5.6509079706213985</v>
      </c>
      <c r="AB16" s="20">
        <v>0</v>
      </c>
      <c r="AC16" s="20">
        <v>0</v>
      </c>
      <c r="AD16" s="20">
        <v>0</v>
      </c>
      <c r="AE16" s="20">
        <v>0</v>
      </c>
      <c r="AF16" s="20">
        <v>0</v>
      </c>
      <c r="AG16" s="20">
        <v>0</v>
      </c>
      <c r="AH16" s="20">
        <v>0</v>
      </c>
      <c r="AI16" s="20">
        <v>0</v>
      </c>
      <c r="AJ16" s="21">
        <v>0</v>
      </c>
      <c r="AL16" s="13" t="s">
        <v>258</v>
      </c>
      <c r="AM16" s="14" t="s">
        <v>269</v>
      </c>
      <c r="AN16" s="14" t="s">
        <v>270</v>
      </c>
      <c r="AO16" s="14" t="s">
        <v>271</v>
      </c>
      <c r="AP16" s="14" t="s">
        <v>272</v>
      </c>
      <c r="AQ16" s="14" t="s">
        <v>273</v>
      </c>
      <c r="AR16" s="14" t="s">
        <v>274</v>
      </c>
      <c r="AS16" s="14" t="s">
        <v>275</v>
      </c>
      <c r="AT16" s="14" t="s">
        <v>276</v>
      </c>
      <c r="AU16" s="14" t="s">
        <v>277</v>
      </c>
      <c r="AV16" s="14" t="s">
        <v>278</v>
      </c>
      <c r="AW16" s="14" t="s">
        <v>260</v>
      </c>
      <c r="AZ16" s="3" t="s">
        <v>21</v>
      </c>
      <c r="BA16" s="3">
        <v>11</v>
      </c>
      <c r="BB16" s="3">
        <v>1.0030172250992277</v>
      </c>
      <c r="BC16" s="3">
        <v>1.0039043802132779</v>
      </c>
      <c r="BD16" s="3">
        <v>0.90346745894567215</v>
      </c>
      <c r="BE16" s="3">
        <v>0.47368740225452804</v>
      </c>
      <c r="BG16" s="3">
        <v>-5.1900406148614213E-3</v>
      </c>
      <c r="BH16" s="3">
        <v>-5.8226692831653878E-3</v>
      </c>
      <c r="BI16" s="3">
        <v>-7.1317117118843004E-3</v>
      </c>
      <c r="BJ16" s="3">
        <v>-1.0541302211302228E-2</v>
      </c>
    </row>
    <row r="17" spans="1:62" x14ac:dyDescent="0.2">
      <c r="A17" s="3" t="s">
        <v>25</v>
      </c>
      <c r="B17" s="3">
        <v>77.650000000000006</v>
      </c>
      <c r="C17" s="3">
        <v>88.5</v>
      </c>
      <c r="D17" s="3">
        <v>14.582000000000001</v>
      </c>
      <c r="E17" s="3">
        <v>63.55</v>
      </c>
      <c r="F17" s="3">
        <v>54.35</v>
      </c>
      <c r="G17" s="3">
        <v>174.2</v>
      </c>
      <c r="H17" s="3">
        <v>35.726999999999997</v>
      </c>
      <c r="I17" s="3">
        <v>114.2</v>
      </c>
      <c r="J17" s="3">
        <v>10.66</v>
      </c>
      <c r="K17" s="3">
        <v>83.55</v>
      </c>
      <c r="L17" s="3">
        <v>25623.529297000001</v>
      </c>
      <c r="N17" s="5">
        <v>-1.7538611304285467E-2</v>
      </c>
      <c r="O17" s="5">
        <v>3.3840979842407748E-3</v>
      </c>
      <c r="P17" s="5">
        <v>1.2336373300523285E-3</v>
      </c>
      <c r="Q17" s="5">
        <v>1.5613119657188257E-2</v>
      </c>
      <c r="R17" s="5">
        <v>-1.8416211466494303E-3</v>
      </c>
      <c r="S17" s="5">
        <v>3.4383988030324275E-3</v>
      </c>
      <c r="T17" s="5">
        <v>-3.8139085463271272E-3</v>
      </c>
      <c r="U17" s="5">
        <v>-9.6789140998350121E-3</v>
      </c>
      <c r="V17" s="5">
        <v>-1.3220211428134565E-2</v>
      </c>
      <c r="W17" s="5">
        <v>-4.7990494024663377E-3</v>
      </c>
      <c r="X17" s="5">
        <v>5.0563882720897624E-3</v>
      </c>
      <c r="Z17" s="6" t="s">
        <v>270</v>
      </c>
      <c r="AA17" s="22">
        <v>0</v>
      </c>
      <c r="AB17" s="23">
        <v>0.88528836713731818</v>
      </c>
      <c r="AC17" s="23">
        <v>0</v>
      </c>
      <c r="AD17" s="23">
        <v>0</v>
      </c>
      <c r="AE17" s="23">
        <v>0</v>
      </c>
      <c r="AF17" s="23">
        <v>0</v>
      </c>
      <c r="AG17" s="23">
        <v>0</v>
      </c>
      <c r="AH17" s="23">
        <v>0</v>
      </c>
      <c r="AI17" s="23">
        <v>0</v>
      </c>
      <c r="AJ17" s="24">
        <v>0</v>
      </c>
      <c r="AL17" s="3">
        <v>1</v>
      </c>
      <c r="AM17" s="3">
        <v>0.30943176576903642</v>
      </c>
      <c r="AN17" s="3">
        <v>0.27238884516301004</v>
      </c>
      <c r="AO17" s="3">
        <v>0.28730271833153681</v>
      </c>
      <c r="AP17" s="3">
        <v>0.2989256097225354</v>
      </c>
      <c r="AQ17" s="3">
        <v>0.27627927046943457</v>
      </c>
      <c r="AR17" s="3">
        <v>0.34187639488590671</v>
      </c>
      <c r="AS17" s="3">
        <v>0.35845327544528666</v>
      </c>
      <c r="AT17" s="3">
        <v>0.36270764216794532</v>
      </c>
      <c r="AU17" s="3">
        <v>0.34806790525818582</v>
      </c>
      <c r="AV17" s="3">
        <v>0.28939656450712098</v>
      </c>
      <c r="AW17" s="3">
        <v>0.3144829991719999</v>
      </c>
      <c r="AZ17" s="3" t="s">
        <v>23</v>
      </c>
      <c r="BA17" s="3">
        <v>12</v>
      </c>
      <c r="BB17" s="3">
        <v>0.99782501052084005</v>
      </c>
      <c r="BC17" s="3">
        <v>0.9980759619583075</v>
      </c>
      <c r="BD17" s="3">
        <v>0.89704711073591858</v>
      </c>
      <c r="BE17" s="3">
        <v>0.46872034580968447</v>
      </c>
      <c r="BG17" s="3">
        <v>1.2309279844931521E-3</v>
      </c>
      <c r="BH17" s="3">
        <v>4.1508764666007007E-4</v>
      </c>
      <c r="BI17" s="3">
        <v>-2.8884820596302568E-3</v>
      </c>
      <c r="BJ17" s="3">
        <v>-8.3225034264386988E-3</v>
      </c>
    </row>
    <row r="18" spans="1:62" x14ac:dyDescent="0.2">
      <c r="A18" s="3" t="s">
        <v>26</v>
      </c>
      <c r="B18" s="3">
        <v>76.3</v>
      </c>
      <c r="C18" s="3">
        <v>88.8</v>
      </c>
      <c r="D18" s="3">
        <v>14.6</v>
      </c>
      <c r="E18" s="3">
        <v>64.55</v>
      </c>
      <c r="F18" s="3">
        <v>54.25</v>
      </c>
      <c r="G18" s="3">
        <v>174.8</v>
      </c>
      <c r="H18" s="3">
        <v>35.591000000000001</v>
      </c>
      <c r="I18" s="3">
        <v>113.1</v>
      </c>
      <c r="J18" s="3">
        <v>10.52</v>
      </c>
      <c r="K18" s="3">
        <v>83.15</v>
      </c>
      <c r="L18" s="3">
        <v>25753.419922000001</v>
      </c>
      <c r="N18" s="5">
        <v>-4.5977092486291227E-3</v>
      </c>
      <c r="O18" s="5">
        <v>1.0084119066625874E-2</v>
      </c>
      <c r="P18" s="5">
        <v>6.2135326739993779E-3</v>
      </c>
      <c r="Q18" s="5">
        <v>-6.2160262310060332E-3</v>
      </c>
      <c r="R18" s="5">
        <v>1.0999194300670645E-2</v>
      </c>
      <c r="S18" s="5">
        <v>-1.1448198159333955E-3</v>
      </c>
      <c r="T18" s="5">
        <v>6.3577634369065272E-3</v>
      </c>
      <c r="U18" s="5">
        <v>2.6490081715770941E-3</v>
      </c>
      <c r="V18" s="5">
        <v>1.3220211428134565E-2</v>
      </c>
      <c r="W18" s="5">
        <v>2.4024035578662506E-3</v>
      </c>
      <c r="X18" s="5">
        <v>-3.9700259691848316E-3</v>
      </c>
      <c r="Z18" s="6" t="s">
        <v>271</v>
      </c>
      <c r="AA18" s="22">
        <v>0</v>
      </c>
      <c r="AB18" s="23">
        <v>0</v>
      </c>
      <c r="AC18" s="23">
        <v>0.70518911404800388</v>
      </c>
      <c r="AD18" s="23">
        <v>0</v>
      </c>
      <c r="AE18" s="23">
        <v>0</v>
      </c>
      <c r="AF18" s="23">
        <v>0</v>
      </c>
      <c r="AG18" s="23">
        <v>0</v>
      </c>
      <c r="AH18" s="23">
        <v>0</v>
      </c>
      <c r="AI18" s="23">
        <v>0</v>
      </c>
      <c r="AJ18" s="24">
        <v>0</v>
      </c>
      <c r="AL18" s="3">
        <v>2</v>
      </c>
      <c r="AM18" s="3">
        <v>-0.29379584576020928</v>
      </c>
      <c r="AN18" s="3">
        <v>0.62604279763990445</v>
      </c>
      <c r="AO18" s="3">
        <v>0.55828605318847813</v>
      </c>
      <c r="AP18" s="3">
        <v>-0.11355579448402661</v>
      </c>
      <c r="AQ18" s="3">
        <v>7.6836830057155185E-3</v>
      </c>
      <c r="AR18" s="3">
        <v>0.12948964914049038</v>
      </c>
      <c r="AS18" s="3">
        <v>-6.5273387846608161E-2</v>
      </c>
      <c r="AT18" s="3">
        <v>-0.16778754565581402</v>
      </c>
      <c r="AU18" s="3">
        <v>-0.22227313792553774</v>
      </c>
      <c r="AV18" s="3">
        <v>-0.31389639881826931</v>
      </c>
      <c r="AW18" s="3">
        <v>1.4492007248412327E-2</v>
      </c>
      <c r="AZ18" s="3" t="s">
        <v>24</v>
      </c>
      <c r="BA18" s="3">
        <v>13</v>
      </c>
      <c r="BB18" s="3">
        <v>0.99905401750428091</v>
      </c>
      <c r="BC18" s="3">
        <v>0.99849033695556633</v>
      </c>
      <c r="BD18" s="3">
        <v>0.8944597448288536</v>
      </c>
      <c r="BE18" s="3">
        <v>0.46483560692468989</v>
      </c>
      <c r="BG18" s="3">
        <v>-7.8047249500539737E-3</v>
      </c>
      <c r="BH18" s="3">
        <v>-6.4656631352716567E-3</v>
      </c>
      <c r="BI18" s="3">
        <v>-9.6624006266468609E-4</v>
      </c>
      <c r="BJ18" s="3">
        <v>8.3416565721988745E-3</v>
      </c>
    </row>
    <row r="19" spans="1:62" x14ac:dyDescent="0.2">
      <c r="A19" s="3" t="s">
        <v>27</v>
      </c>
      <c r="B19" s="3">
        <v>75.95</v>
      </c>
      <c r="C19" s="3">
        <v>89.7</v>
      </c>
      <c r="D19" s="3">
        <v>14.691000000000001</v>
      </c>
      <c r="E19" s="3">
        <v>64.150000000000006</v>
      </c>
      <c r="F19" s="3">
        <v>54.85</v>
      </c>
      <c r="G19" s="3">
        <v>174.6</v>
      </c>
      <c r="H19" s="3">
        <v>35.817999999999998</v>
      </c>
      <c r="I19" s="3">
        <v>113.4</v>
      </c>
      <c r="J19" s="3">
        <v>10.66</v>
      </c>
      <c r="K19" s="3">
        <v>83.35</v>
      </c>
      <c r="L19" s="3">
        <v>25651.380859000001</v>
      </c>
      <c r="N19" s="5">
        <v>-7.9313039692774367E-3</v>
      </c>
      <c r="O19" s="5">
        <v>-6.7114345879861759E-3</v>
      </c>
      <c r="P19" s="5">
        <v>3.6689808789494016E-3</v>
      </c>
      <c r="Q19" s="5">
        <v>-2.3410077019736519E-3</v>
      </c>
      <c r="R19" s="5">
        <v>-5.4844744421598257E-3</v>
      </c>
      <c r="S19" s="5">
        <v>-2.867796631358388E-3</v>
      </c>
      <c r="T19" s="5">
        <v>-1.5332761590773458E-2</v>
      </c>
      <c r="U19" s="5">
        <v>-1.4209830572653459E-2</v>
      </c>
      <c r="V19" s="5">
        <v>-1.7029739844802272E-2</v>
      </c>
      <c r="W19" s="5">
        <v>-1.8012613696400948E-3</v>
      </c>
      <c r="X19" s="5">
        <v>-6.747497418507109E-3</v>
      </c>
      <c r="Z19" s="6" t="s">
        <v>272</v>
      </c>
      <c r="AA19" s="22">
        <v>0</v>
      </c>
      <c r="AB19" s="23">
        <v>0</v>
      </c>
      <c r="AC19" s="23">
        <v>0</v>
      </c>
      <c r="AD19" s="23">
        <v>0.63737071871490925</v>
      </c>
      <c r="AE19" s="23">
        <v>0</v>
      </c>
      <c r="AF19" s="23">
        <v>0</v>
      </c>
      <c r="AG19" s="23">
        <v>0</v>
      </c>
      <c r="AH19" s="23">
        <v>0</v>
      </c>
      <c r="AI19" s="23">
        <v>0</v>
      </c>
      <c r="AJ19" s="24">
        <v>0</v>
      </c>
      <c r="AL19" s="3">
        <v>3</v>
      </c>
      <c r="AM19" s="3">
        <v>5.4543042181097449E-2</v>
      </c>
      <c r="AN19" s="3">
        <v>-8.5877739848753465E-2</v>
      </c>
      <c r="AO19" s="3">
        <v>-6.6216471030159776E-2</v>
      </c>
      <c r="AP19" s="3">
        <v>0.6842174685245529</v>
      </c>
      <c r="AQ19" s="3">
        <v>-0.45075786111268101</v>
      </c>
      <c r="AR19" s="3">
        <v>0.44989424922149368</v>
      </c>
      <c r="AS19" s="3">
        <v>-6.1686027597552137E-2</v>
      </c>
      <c r="AT19" s="3">
        <v>-0.16772172850664654</v>
      </c>
      <c r="AU19" s="3">
        <v>-0.24756342236273765</v>
      </c>
      <c r="AV19" s="3">
        <v>-0.13528129188782986</v>
      </c>
      <c r="AW19" s="3">
        <v>-2.6449782419216399E-3</v>
      </c>
      <c r="AZ19" s="3" t="s">
        <v>25</v>
      </c>
      <c r="BA19" s="3">
        <v>14</v>
      </c>
      <c r="BB19" s="3">
        <v>0.99128702473487673</v>
      </c>
      <c r="BC19" s="3">
        <v>0.99205526072862815</v>
      </c>
      <c r="BD19" s="3">
        <v>0.89359589939719974</v>
      </c>
      <c r="BE19" s="3">
        <v>0.46872932336476247</v>
      </c>
      <c r="BG19" s="3">
        <v>-2.7180038367146664E-3</v>
      </c>
      <c r="BH19" s="3">
        <v>-1.5332837820550525E-3</v>
      </c>
      <c r="BI19" s="3">
        <v>-2.7526205906936441E-3</v>
      </c>
      <c r="BJ19" s="3">
        <v>-3.0838655261371528E-3</v>
      </c>
    </row>
    <row r="20" spans="1:62" x14ac:dyDescent="0.2">
      <c r="A20" s="3" t="s">
        <v>28</v>
      </c>
      <c r="B20" s="3">
        <v>75.349999999999994</v>
      </c>
      <c r="C20" s="3">
        <v>89.1</v>
      </c>
      <c r="D20" s="3">
        <v>14.744999999999999</v>
      </c>
      <c r="E20" s="3">
        <v>64</v>
      </c>
      <c r="F20" s="3">
        <v>54.55</v>
      </c>
      <c r="G20" s="3">
        <v>174.1</v>
      </c>
      <c r="H20" s="3">
        <v>35.273000000000003</v>
      </c>
      <c r="I20" s="3">
        <v>111.8</v>
      </c>
      <c r="J20" s="3">
        <v>10.48</v>
      </c>
      <c r="K20" s="3">
        <v>83.2</v>
      </c>
      <c r="L20" s="3">
        <v>25478.880859000001</v>
      </c>
      <c r="N20" s="5">
        <v>0</v>
      </c>
      <c r="O20" s="5">
        <v>-1.6849203649194067E-3</v>
      </c>
      <c r="P20" s="5">
        <v>-2.4444909300336271E-3</v>
      </c>
      <c r="Q20" s="5">
        <v>-3.9138993211356166E-3</v>
      </c>
      <c r="R20" s="5">
        <v>-6.436803833479221E-3</v>
      </c>
      <c r="S20" s="5">
        <v>1.1481057518318849E-3</v>
      </c>
      <c r="T20" s="5">
        <v>-6.4848488014863648E-3</v>
      </c>
      <c r="U20" s="5">
        <v>-1.4414664002184274E-2</v>
      </c>
      <c r="V20" s="5">
        <v>-1.3448809812612872E-2</v>
      </c>
      <c r="W20" s="5">
        <v>-5.4233335699906959E-3</v>
      </c>
      <c r="X20" s="5">
        <v>9.9320645369260774E-4</v>
      </c>
      <c r="Z20" s="6" t="s">
        <v>273</v>
      </c>
      <c r="AA20" s="22">
        <v>0</v>
      </c>
      <c r="AB20" s="23">
        <v>0</v>
      </c>
      <c r="AC20" s="23">
        <v>0</v>
      </c>
      <c r="AD20" s="23">
        <v>0</v>
      </c>
      <c r="AE20" s="23">
        <v>0.41156018710868636</v>
      </c>
      <c r="AF20" s="23">
        <v>0</v>
      </c>
      <c r="AG20" s="23">
        <v>0</v>
      </c>
      <c r="AH20" s="23">
        <v>0</v>
      </c>
      <c r="AI20" s="23">
        <v>0</v>
      </c>
      <c r="AJ20" s="24">
        <v>0</v>
      </c>
      <c r="AL20" s="3">
        <v>4</v>
      </c>
      <c r="AM20" s="3">
        <v>0.33993195911457524</v>
      </c>
      <c r="AN20" s="3">
        <v>-5.6741389591666754E-2</v>
      </c>
      <c r="AO20" s="3">
        <v>-7.2293500297846536E-2</v>
      </c>
      <c r="AP20" s="3">
        <v>0.21726870665996928</v>
      </c>
      <c r="AQ20" s="3">
        <v>0.75430659188936255</v>
      </c>
      <c r="AR20" s="3">
        <v>1.4127832457715052E-2</v>
      </c>
      <c r="AS20" s="3">
        <v>-0.25603360522017066</v>
      </c>
      <c r="AT20" s="3">
        <v>-0.26778032608286328</v>
      </c>
      <c r="AU20" s="3">
        <v>-0.26067012979622434</v>
      </c>
      <c r="AV20" s="3">
        <v>-0.23325561081346197</v>
      </c>
      <c r="AW20" s="3">
        <v>1.7886052831938854E-2</v>
      </c>
      <c r="AZ20" s="3" t="s">
        <v>26</v>
      </c>
      <c r="BA20" s="3">
        <v>15</v>
      </c>
      <c r="BB20" s="3">
        <v>0.98859636107189119</v>
      </c>
      <c r="BC20" s="3">
        <v>0.99053532403137012</v>
      </c>
      <c r="BD20" s="3">
        <v>0.89113955117307209</v>
      </c>
      <c r="BE20" s="3">
        <v>0.46728605173498011</v>
      </c>
      <c r="BG20" s="3">
        <v>4.1645277041783713E-3</v>
      </c>
      <c r="BH20" s="3">
        <v>4.1167996915260213E-3</v>
      </c>
      <c r="BI20" s="3">
        <v>9.5774074748184029E-3</v>
      </c>
      <c r="BJ20" s="3">
        <v>1.6172018465246185E-2</v>
      </c>
    </row>
    <row r="21" spans="1:62" x14ac:dyDescent="0.2">
      <c r="A21" s="3" t="s">
        <v>29</v>
      </c>
      <c r="B21" s="3">
        <v>75.349999999999994</v>
      </c>
      <c r="C21" s="3">
        <v>88.95</v>
      </c>
      <c r="D21" s="3">
        <v>14.709</v>
      </c>
      <c r="E21" s="3">
        <v>63.75</v>
      </c>
      <c r="F21" s="3">
        <v>54.2</v>
      </c>
      <c r="G21" s="3">
        <v>174.3</v>
      </c>
      <c r="H21" s="3">
        <v>35.045000000000002</v>
      </c>
      <c r="I21" s="3">
        <v>110.2</v>
      </c>
      <c r="J21" s="3">
        <v>10.34</v>
      </c>
      <c r="K21" s="3">
        <v>82.75</v>
      </c>
      <c r="L21" s="3">
        <v>25504.199218999998</v>
      </c>
      <c r="N21" s="5">
        <v>-1.9926941167103251E-3</v>
      </c>
      <c r="O21" s="5">
        <v>-5.0718620979610662E-3</v>
      </c>
      <c r="P21" s="5">
        <v>1.2229924068192233E-3</v>
      </c>
      <c r="Q21" s="5">
        <v>1.6336419319692652E-2</v>
      </c>
      <c r="R21" s="5">
        <v>5.5197932235979685E-3</v>
      </c>
      <c r="S21" s="5">
        <v>8.5690327251013443E-3</v>
      </c>
      <c r="T21" s="5">
        <v>1.163133680367201E-2</v>
      </c>
      <c r="U21" s="5">
        <v>1.262415322839594E-2</v>
      </c>
      <c r="V21" s="5">
        <v>1.9323677510536541E-3</v>
      </c>
      <c r="W21" s="5">
        <v>-6.0441222752682933E-4</v>
      </c>
      <c r="X21" s="5">
        <v>1.330109874409402E-2</v>
      </c>
      <c r="Z21" s="6" t="s">
        <v>274</v>
      </c>
      <c r="AA21" s="22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0.28513398413949509</v>
      </c>
      <c r="AG21" s="23">
        <v>0</v>
      </c>
      <c r="AH21" s="23">
        <v>0</v>
      </c>
      <c r="AI21" s="23">
        <v>0</v>
      </c>
      <c r="AJ21" s="24">
        <v>0</v>
      </c>
      <c r="AL21" s="8" t="s">
        <v>285</v>
      </c>
      <c r="AM21" s="3">
        <v>0.1</v>
      </c>
      <c r="AN21" s="3">
        <v>0.1</v>
      </c>
      <c r="AO21" s="3">
        <v>0.1</v>
      </c>
      <c r="AP21" s="3">
        <v>0.1</v>
      </c>
      <c r="AQ21" s="3">
        <v>0.1</v>
      </c>
      <c r="AR21" s="3">
        <v>0.1</v>
      </c>
      <c r="AS21" s="3">
        <v>0.1</v>
      </c>
      <c r="AT21" s="3">
        <v>0.1</v>
      </c>
      <c r="AU21" s="3">
        <v>0.1</v>
      </c>
      <c r="AV21" s="3">
        <v>0.1</v>
      </c>
      <c r="AZ21" s="3" t="s">
        <v>27</v>
      </c>
      <c r="BA21" s="3">
        <v>16</v>
      </c>
      <c r="BB21" s="3">
        <v>0.9927219826759055</v>
      </c>
      <c r="BC21" s="3">
        <v>0.99462156489420384</v>
      </c>
      <c r="BD21" s="3">
        <v>0.89971535922317247</v>
      </c>
      <c r="BE21" s="3">
        <v>0.47490444676624893</v>
      </c>
      <c r="BG21" s="3">
        <v>-7.005839425244801E-3</v>
      </c>
      <c r="BH21" s="3">
        <v>-6.0362628471477119E-3</v>
      </c>
      <c r="BI21" s="3">
        <v>-4.9993213905735051E-3</v>
      </c>
      <c r="BJ21" s="3">
        <v>-2.175240741473905E-3</v>
      </c>
    </row>
    <row r="22" spans="1:62" x14ac:dyDescent="0.2">
      <c r="A22" s="3" t="s">
        <v>30</v>
      </c>
      <c r="B22" s="3">
        <v>75.2</v>
      </c>
      <c r="C22" s="3">
        <v>88.5</v>
      </c>
      <c r="D22" s="3">
        <v>14.727</v>
      </c>
      <c r="E22" s="3">
        <v>64.8</v>
      </c>
      <c r="F22" s="3">
        <v>54.5</v>
      </c>
      <c r="G22" s="3">
        <v>175.8</v>
      </c>
      <c r="H22" s="3">
        <v>35.454999999999998</v>
      </c>
      <c r="I22" s="3">
        <v>111.6</v>
      </c>
      <c r="J22" s="3">
        <v>10.36</v>
      </c>
      <c r="K22" s="3">
        <v>82.7</v>
      </c>
      <c r="L22" s="3">
        <v>25845.699218999998</v>
      </c>
      <c r="N22" s="5">
        <v>-1.0695289116747553E-2</v>
      </c>
      <c r="O22" s="5">
        <v>-1.4224990931347214E-2</v>
      </c>
      <c r="P22" s="5">
        <v>3.7276806186699041E-3</v>
      </c>
      <c r="Q22" s="5">
        <v>-2.342027420809778E-2</v>
      </c>
      <c r="R22" s="5">
        <v>-1.8519047767237673E-2</v>
      </c>
      <c r="S22" s="5">
        <v>-1.6055390753296983E-2</v>
      </c>
      <c r="T22" s="5">
        <v>-1.9423063181242206E-2</v>
      </c>
      <c r="U22" s="5">
        <v>-2.5409715525367638E-2</v>
      </c>
      <c r="V22" s="5">
        <v>-2.1464238668299718E-2</v>
      </c>
      <c r="W22" s="5">
        <v>-3.5069727368624015E-2</v>
      </c>
      <c r="X22" s="5">
        <v>-2.8067949129656711E-2</v>
      </c>
      <c r="Z22" s="6" t="s">
        <v>275</v>
      </c>
      <c r="AA22" s="22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0</v>
      </c>
      <c r="AG22" s="23">
        <v>0.47954106986702005</v>
      </c>
      <c r="AH22" s="23">
        <v>0</v>
      </c>
      <c r="AI22" s="23">
        <v>0</v>
      </c>
      <c r="AJ22" s="24">
        <v>0</v>
      </c>
      <c r="AL22" s="8" t="s">
        <v>264</v>
      </c>
      <c r="AZ22" s="3" t="s">
        <v>28</v>
      </c>
      <c r="BA22" s="3">
        <v>17</v>
      </c>
      <c r="BB22" s="3">
        <v>0.98579143736210506</v>
      </c>
      <c r="BC22" s="3">
        <v>0.98863585153947342</v>
      </c>
      <c r="BD22" s="3">
        <v>0.89522861765875628</v>
      </c>
      <c r="BE22" s="3">
        <v>0.47387253799722162</v>
      </c>
      <c r="BG22" s="3">
        <v>-5.3481573798929236E-3</v>
      </c>
      <c r="BH22" s="3">
        <v>-4.7532206965290227E-3</v>
      </c>
      <c r="BI22" s="3">
        <v>-4.2823306658189703E-3</v>
      </c>
      <c r="BJ22" s="3">
        <v>-2.8305169837508082E-3</v>
      </c>
    </row>
    <row r="23" spans="1:62" x14ac:dyDescent="0.2">
      <c r="A23" s="3" t="s">
        <v>31</v>
      </c>
      <c r="B23" s="3">
        <v>74.400000000000006</v>
      </c>
      <c r="C23" s="3">
        <v>87.25</v>
      </c>
      <c r="D23" s="3">
        <v>14.782</v>
      </c>
      <c r="E23" s="3">
        <v>63.3</v>
      </c>
      <c r="F23" s="3">
        <v>53.5</v>
      </c>
      <c r="G23" s="3">
        <v>173</v>
      </c>
      <c r="H23" s="3">
        <v>34.773000000000003</v>
      </c>
      <c r="I23" s="3">
        <v>108.8</v>
      </c>
      <c r="J23" s="3">
        <v>10.14</v>
      </c>
      <c r="K23" s="3">
        <v>79.849999999999994</v>
      </c>
      <c r="L23" s="3">
        <v>25130.349609000001</v>
      </c>
      <c r="N23" s="5">
        <v>-1.4213437250055527E-2</v>
      </c>
      <c r="O23" s="5">
        <v>0</v>
      </c>
      <c r="P23" s="5">
        <v>-4.9506730254891274E-3</v>
      </c>
      <c r="Q23" s="5">
        <v>-7.90201542501201E-4</v>
      </c>
      <c r="R23" s="5">
        <v>4.662013105811269E-3</v>
      </c>
      <c r="S23" s="5">
        <v>-2.8732554083209294E-2</v>
      </c>
      <c r="T23" s="5">
        <v>1.1693364601995881E-2</v>
      </c>
      <c r="U23" s="5">
        <v>2.8987536873251507E-2</v>
      </c>
      <c r="V23" s="5">
        <v>3.9370129593394587E-3</v>
      </c>
      <c r="W23" s="5">
        <v>-4.3928530007351085E-3</v>
      </c>
      <c r="X23" s="5">
        <v>-2.6293716351730723E-3</v>
      </c>
      <c r="Z23" s="6" t="s">
        <v>276</v>
      </c>
      <c r="AA23" s="22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0</v>
      </c>
      <c r="AG23" s="23">
        <v>0</v>
      </c>
      <c r="AH23" s="23">
        <v>0.22168792986420222</v>
      </c>
      <c r="AI23" s="23">
        <v>0</v>
      </c>
      <c r="AJ23" s="24">
        <v>0</v>
      </c>
      <c r="AL23" s="13" t="s">
        <v>258</v>
      </c>
      <c r="AM23" s="14" t="s">
        <v>269</v>
      </c>
      <c r="AN23" s="14" t="s">
        <v>270</v>
      </c>
      <c r="AO23" s="14" t="s">
        <v>271</v>
      </c>
      <c r="AP23" s="14" t="s">
        <v>272</v>
      </c>
      <c r="AQ23" s="14" t="s">
        <v>273</v>
      </c>
      <c r="AR23" s="14" t="s">
        <v>274</v>
      </c>
      <c r="AS23" s="14" t="s">
        <v>275</v>
      </c>
      <c r="AT23" s="14" t="s">
        <v>276</v>
      </c>
      <c r="AU23" s="14" t="s">
        <v>277</v>
      </c>
      <c r="AV23" s="14" t="s">
        <v>278</v>
      </c>
      <c r="AW23" s="14" t="s">
        <v>260</v>
      </c>
      <c r="AZ23" s="3" t="s">
        <v>29</v>
      </c>
      <c r="BA23" s="3">
        <v>18</v>
      </c>
      <c r="BB23" s="3">
        <v>0.98053334270322634</v>
      </c>
      <c r="BC23" s="3">
        <v>0.98394779765245843</v>
      </c>
      <c r="BD23" s="3">
        <v>0.89140314950230082</v>
      </c>
      <c r="BE23" s="3">
        <v>0.47253313023275856</v>
      </c>
      <c r="BG23" s="3">
        <v>4.9810763956087273E-3</v>
      </c>
      <c r="BH23" s="3">
        <v>4.8692858413261885E-3</v>
      </c>
      <c r="BI23" s="3">
        <v>7.153521799203727E-4</v>
      </c>
      <c r="BJ23" s="3">
        <v>-4.8139794157323612E-3</v>
      </c>
    </row>
    <row r="24" spans="1:62" x14ac:dyDescent="0.2">
      <c r="A24" s="3" t="s">
        <v>32</v>
      </c>
      <c r="B24" s="3">
        <v>73.349999999999994</v>
      </c>
      <c r="C24" s="3">
        <v>87.25</v>
      </c>
      <c r="D24" s="3">
        <v>14.709</v>
      </c>
      <c r="E24" s="3">
        <v>63.25</v>
      </c>
      <c r="F24" s="3">
        <v>53.75</v>
      </c>
      <c r="G24" s="3">
        <v>168.1</v>
      </c>
      <c r="H24" s="3">
        <v>35.182000000000002</v>
      </c>
      <c r="I24" s="3">
        <v>112</v>
      </c>
      <c r="J24" s="3">
        <v>10.18</v>
      </c>
      <c r="K24" s="3">
        <v>79.5</v>
      </c>
      <c r="L24" s="3">
        <v>25064.359375</v>
      </c>
      <c r="N24" s="5">
        <v>2.5573399039994449E-2</v>
      </c>
      <c r="O24" s="5">
        <v>1.8734581437322539E-2</v>
      </c>
      <c r="P24" s="5">
        <v>6.1676294328631975E-3</v>
      </c>
      <c r="Q24" s="5">
        <v>1.7241806434506124E-2</v>
      </c>
      <c r="R24" s="5">
        <v>2.0258519713467482E-2</v>
      </c>
      <c r="S24" s="5">
        <v>-1.7862463814637408E-3</v>
      </c>
      <c r="T24" s="5">
        <v>4.916636806013619E-2</v>
      </c>
      <c r="U24" s="5">
        <v>4.7088036098902109E-2</v>
      </c>
      <c r="V24" s="5">
        <v>4.7947822409672103E-2</v>
      </c>
      <c r="W24" s="5">
        <v>2.8520221948415525E-2</v>
      </c>
      <c r="X24" s="5">
        <v>2.2161712498611763E-2</v>
      </c>
      <c r="Z24" s="6" t="s">
        <v>277</v>
      </c>
      <c r="AA24" s="22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0</v>
      </c>
      <c r="AG24" s="23">
        <v>0</v>
      </c>
      <c r="AH24" s="23">
        <v>0</v>
      </c>
      <c r="AI24" s="23">
        <v>0.18617552574666041</v>
      </c>
      <c r="AJ24" s="24">
        <v>0</v>
      </c>
      <c r="AL24" s="3">
        <v>1</v>
      </c>
      <c r="AM24" s="3">
        <v>0.30943176576903642</v>
      </c>
      <c r="AN24" s="3">
        <v>0.27238884516301004</v>
      </c>
      <c r="AO24" s="3">
        <v>0.28730271833153681</v>
      </c>
      <c r="AP24" s="3">
        <v>0.2989256097225354</v>
      </c>
      <c r="AQ24" s="3">
        <v>0.27627927046943457</v>
      </c>
      <c r="AR24" s="3">
        <v>0.34187639488590671</v>
      </c>
      <c r="AS24" s="3">
        <v>0.35845327544528666</v>
      </c>
      <c r="AT24" s="3">
        <v>0.36270764216794532</v>
      </c>
      <c r="AU24" s="3">
        <v>0.34806790525818582</v>
      </c>
      <c r="AV24" s="3">
        <v>0.28939656450712098</v>
      </c>
      <c r="AW24" s="3">
        <v>0.3144829991719999</v>
      </c>
      <c r="AZ24" s="3" t="s">
        <v>30</v>
      </c>
      <c r="BA24" s="3">
        <v>19</v>
      </c>
      <c r="BB24" s="3">
        <v>0.98542963847978682</v>
      </c>
      <c r="BC24" s="3">
        <v>0.98875060436200668</v>
      </c>
      <c r="BD24" s="3">
        <v>0.89204104482118618</v>
      </c>
      <c r="BE24" s="3">
        <v>0.47026383203045008</v>
      </c>
      <c r="BG24" s="3">
        <v>-1.7904537620908902E-2</v>
      </c>
      <c r="BH24" s="3">
        <v>-1.701116078473653E-2</v>
      </c>
      <c r="BI24" s="3">
        <v>-1.0720873937233727E-2</v>
      </c>
      <c r="BJ24" s="3">
        <v>-2.3690724982119438E-3</v>
      </c>
    </row>
    <row r="25" spans="1:62" x14ac:dyDescent="0.2">
      <c r="A25" s="3" t="s">
        <v>33</v>
      </c>
      <c r="B25" s="3">
        <v>75.25</v>
      </c>
      <c r="C25" s="3">
        <v>88.9</v>
      </c>
      <c r="D25" s="3">
        <v>14.8</v>
      </c>
      <c r="E25" s="3">
        <v>64.349999999999994</v>
      </c>
      <c r="F25" s="3">
        <v>54.85</v>
      </c>
      <c r="G25" s="3">
        <v>167.8</v>
      </c>
      <c r="H25" s="3">
        <v>36.954999999999998</v>
      </c>
      <c r="I25" s="3">
        <v>117.4</v>
      </c>
      <c r="J25" s="3">
        <v>10.68</v>
      </c>
      <c r="K25" s="3">
        <v>81.8</v>
      </c>
      <c r="L25" s="3">
        <v>25626.029297000001</v>
      </c>
      <c r="N25" s="5">
        <v>7.2823890193403074E-3</v>
      </c>
      <c r="O25" s="5">
        <v>-5.6258791919816531E-4</v>
      </c>
      <c r="P25" s="5">
        <v>6.1298228379986774E-3</v>
      </c>
      <c r="Q25" s="5">
        <v>8.5106896679087995E-3</v>
      </c>
      <c r="R25" s="5">
        <v>0</v>
      </c>
      <c r="S25" s="5">
        <v>5.3491955188160745E-3</v>
      </c>
      <c r="T25" s="5">
        <v>1.3439256162996571E-2</v>
      </c>
      <c r="U25" s="5">
        <v>6.7911975780017286E-3</v>
      </c>
      <c r="V25" s="5">
        <v>1.4870162479451388E-2</v>
      </c>
      <c r="W25" s="5">
        <v>7.3081933067244975E-3</v>
      </c>
      <c r="X25" s="5">
        <v>8.1486218290454104E-3</v>
      </c>
      <c r="Z25" s="6" t="s">
        <v>278</v>
      </c>
      <c r="AA25" s="25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7">
        <v>0.53714513275230236</v>
      </c>
      <c r="AL25" s="3">
        <v>2</v>
      </c>
      <c r="AM25" s="3">
        <v>-0.29379584576020928</v>
      </c>
      <c r="AN25" s="3">
        <v>0.62604279763990445</v>
      </c>
      <c r="AO25" s="3">
        <v>0.55828605318847813</v>
      </c>
      <c r="AP25" s="3">
        <v>-0.11355579448402661</v>
      </c>
      <c r="AQ25" s="3">
        <v>7.6836830057155185E-3</v>
      </c>
      <c r="AR25" s="3">
        <v>0.12948964914049038</v>
      </c>
      <c r="AS25" s="3">
        <v>-6.5273387846608161E-2</v>
      </c>
      <c r="AT25" s="3">
        <v>-0.16778754565581402</v>
      </c>
      <c r="AU25" s="3">
        <v>-0.22227313792553774</v>
      </c>
      <c r="AV25" s="3">
        <v>-0.31389639881826931</v>
      </c>
      <c r="AW25" s="3">
        <v>1.4492007248412327E-2</v>
      </c>
      <c r="AZ25" s="3" t="s">
        <v>31</v>
      </c>
      <c r="BA25" s="3">
        <v>20</v>
      </c>
      <c r="BB25" s="3">
        <v>0.96794298877598384</v>
      </c>
      <c r="BC25" s="3">
        <v>0.97207306319870801</v>
      </c>
      <c r="BD25" s="3">
        <v>0.88252866684566322</v>
      </c>
      <c r="BE25" s="3">
        <v>0.46915106155649872</v>
      </c>
      <c r="BG25" s="3">
        <v>-1.4877822530770524E-4</v>
      </c>
      <c r="BH25" s="3">
        <v>-9.1578952004585726E-4</v>
      </c>
      <c r="BI25" s="3">
        <v>8.1683757979476856E-4</v>
      </c>
      <c r="BJ25" s="3">
        <v>1.5916560170295968E-3</v>
      </c>
    </row>
    <row r="26" spans="1:62" x14ac:dyDescent="0.2">
      <c r="A26" s="3" t="s">
        <v>34</v>
      </c>
      <c r="B26" s="3">
        <v>75.8</v>
      </c>
      <c r="C26" s="3">
        <v>88.85</v>
      </c>
      <c r="D26" s="3">
        <v>14.891</v>
      </c>
      <c r="E26" s="3">
        <v>64.900000000000006</v>
      </c>
      <c r="F26" s="3">
        <v>54.85</v>
      </c>
      <c r="G26" s="3">
        <v>168.7</v>
      </c>
      <c r="H26" s="3">
        <v>37.454999999999998</v>
      </c>
      <c r="I26" s="3">
        <v>118.2</v>
      </c>
      <c r="J26" s="3">
        <v>10.84</v>
      </c>
      <c r="K26" s="3">
        <v>82.4</v>
      </c>
      <c r="L26" s="3">
        <v>25835.699218999998</v>
      </c>
      <c r="N26" s="5">
        <v>2.024228437074882E-2</v>
      </c>
      <c r="O26" s="5">
        <v>1.1748386876914374E-2</v>
      </c>
      <c r="P26" s="5">
        <v>3.6197921278331435E-3</v>
      </c>
      <c r="Q26" s="5">
        <v>-2.313923130397022E-3</v>
      </c>
      <c r="R26" s="5">
        <v>2.7309985112315971E-3</v>
      </c>
      <c r="S26" s="5">
        <v>1.1199645505656441E-2</v>
      </c>
      <c r="T26" s="5">
        <v>9.6449673591814111E-3</v>
      </c>
      <c r="U26" s="5">
        <v>1.0938266399567631E-2</v>
      </c>
      <c r="V26" s="5">
        <v>3.0883471715453137E-2</v>
      </c>
      <c r="W26" s="5">
        <v>9.6619109117366264E-3</v>
      </c>
      <c r="X26" s="5">
        <v>1.5373863868806126E-3</v>
      </c>
      <c r="AL26" s="3">
        <v>3</v>
      </c>
      <c r="AM26" s="3">
        <v>-5.4543042181097449E-2</v>
      </c>
      <c r="AN26" s="3">
        <v>8.5877739848753465E-2</v>
      </c>
      <c r="AO26" s="3">
        <v>6.6216471030159776E-2</v>
      </c>
      <c r="AP26" s="3">
        <v>-0.6842174685245529</v>
      </c>
      <c r="AQ26" s="3">
        <v>0.45075786111268101</v>
      </c>
      <c r="AR26" s="3">
        <v>-0.44989424922149368</v>
      </c>
      <c r="AS26" s="3">
        <v>6.1686027597552137E-2</v>
      </c>
      <c r="AT26" s="3">
        <v>0.16772172850664654</v>
      </c>
      <c r="AU26" s="3">
        <v>0.24756342236273765</v>
      </c>
      <c r="AV26" s="3">
        <v>0.13528129188782986</v>
      </c>
      <c r="AW26" s="3">
        <v>2.6449782419216399E-3</v>
      </c>
      <c r="AZ26" s="3" t="s">
        <v>32</v>
      </c>
      <c r="BA26" s="3">
        <v>21</v>
      </c>
      <c r="BB26" s="3">
        <v>0.96779899064807329</v>
      </c>
      <c r="BC26" s="3">
        <v>0.97118325637478176</v>
      </c>
      <c r="BD26" s="3">
        <v>0.88324984392816142</v>
      </c>
      <c r="BE26" s="3">
        <v>0.46989838324828453</v>
      </c>
      <c r="BG26" s="3">
        <v>2.6037675264656994E-2</v>
      </c>
      <c r="BH26" s="3">
        <v>2.3427839635246764E-2</v>
      </c>
      <c r="BI26" s="3">
        <v>1.8999289673146333E-2</v>
      </c>
      <c r="BJ26" s="3">
        <v>9.7983074004065474E-3</v>
      </c>
    </row>
    <row r="27" spans="1:62" x14ac:dyDescent="0.2">
      <c r="A27" s="3" t="s">
        <v>35</v>
      </c>
      <c r="B27" s="3">
        <v>77.349999999999994</v>
      </c>
      <c r="C27" s="3">
        <v>89.9</v>
      </c>
      <c r="D27" s="3">
        <v>14.945</v>
      </c>
      <c r="E27" s="3">
        <v>64.75</v>
      </c>
      <c r="F27" s="3">
        <v>55</v>
      </c>
      <c r="G27" s="3">
        <v>170.6</v>
      </c>
      <c r="H27" s="3">
        <v>37.817999999999998</v>
      </c>
      <c r="I27" s="3">
        <v>119.5</v>
      </c>
      <c r="J27" s="3">
        <v>11.18</v>
      </c>
      <c r="K27" s="3">
        <v>83.2</v>
      </c>
      <c r="L27" s="3">
        <v>25875.449218999998</v>
      </c>
      <c r="N27" s="5">
        <v>1.937359340226763E-3</v>
      </c>
      <c r="O27" s="5">
        <v>6.0992703637294809E-3</v>
      </c>
      <c r="P27" s="5">
        <v>1.2104430844161129E-2</v>
      </c>
      <c r="Q27" s="5">
        <v>1.1516442061559218E-2</v>
      </c>
      <c r="R27" s="5">
        <v>9.9503308531678769E-3</v>
      </c>
      <c r="S27" s="5">
        <v>2.3176008347922661E-2</v>
      </c>
      <c r="T27" s="5">
        <v>9.5790206134398481E-3</v>
      </c>
      <c r="U27" s="5">
        <v>4.1753714104801887E-3</v>
      </c>
      <c r="V27" s="5">
        <v>5.3523767385916798E-3</v>
      </c>
      <c r="W27" s="5">
        <v>3.3099948426344561E-2</v>
      </c>
      <c r="X27" s="5">
        <v>2.2427233631972854E-2</v>
      </c>
      <c r="Z27" s="3" t="s">
        <v>257</v>
      </c>
      <c r="AL27" s="3">
        <v>4</v>
      </c>
      <c r="AM27" s="3">
        <v>0.33993195911457524</v>
      </c>
      <c r="AN27" s="3">
        <v>-5.6741389591666754E-2</v>
      </c>
      <c r="AO27" s="3">
        <v>-7.2293500297846536E-2</v>
      </c>
      <c r="AP27" s="3">
        <v>0.21726870665996928</v>
      </c>
      <c r="AQ27" s="3">
        <v>0.75430659188936255</v>
      </c>
      <c r="AR27" s="3">
        <v>1.4127832457715052E-2</v>
      </c>
      <c r="AS27" s="3">
        <v>-0.25603360522017066</v>
      </c>
      <c r="AT27" s="3">
        <v>-0.26778032608286328</v>
      </c>
      <c r="AU27" s="3">
        <v>-0.26067012979622434</v>
      </c>
      <c r="AV27" s="3">
        <v>-0.23325561081346197</v>
      </c>
      <c r="AW27" s="3">
        <v>1.7886052831938854E-2</v>
      </c>
      <c r="AZ27" s="3" t="s">
        <v>33</v>
      </c>
      <c r="BA27" s="3">
        <v>22</v>
      </c>
      <c r="BB27" s="3">
        <v>0.99332915722730397</v>
      </c>
      <c r="BC27" s="3">
        <v>0.99420459916990389</v>
      </c>
      <c r="BD27" s="3">
        <v>0.90019139264542514</v>
      </c>
      <c r="BE27" s="3">
        <v>0.47452522263431507</v>
      </c>
      <c r="BG27" s="3">
        <v>6.8917784178300669E-3</v>
      </c>
      <c r="BH27" s="3">
        <v>6.0554886606213505E-3</v>
      </c>
      <c r="BI27" s="3">
        <v>2.100548547270098E-3</v>
      </c>
      <c r="BJ27" s="3">
        <v>-4.3486669618033602E-3</v>
      </c>
    </row>
    <row r="28" spans="1:62" x14ac:dyDescent="0.2">
      <c r="A28" s="3" t="s">
        <v>36</v>
      </c>
      <c r="B28" s="3">
        <v>77.5</v>
      </c>
      <c r="C28" s="3">
        <v>90.45</v>
      </c>
      <c r="D28" s="3">
        <v>15.127000000000001</v>
      </c>
      <c r="E28" s="3">
        <v>65.5</v>
      </c>
      <c r="F28" s="3">
        <v>55.55</v>
      </c>
      <c r="G28" s="3">
        <v>174.6</v>
      </c>
      <c r="H28" s="3">
        <v>38.182000000000002</v>
      </c>
      <c r="I28" s="3">
        <v>120</v>
      </c>
      <c r="J28" s="3">
        <v>11.24</v>
      </c>
      <c r="K28" s="3">
        <v>86</v>
      </c>
      <c r="L28" s="3">
        <v>26462.320313</v>
      </c>
      <c r="N28" s="5">
        <v>-5.174655790018079E-3</v>
      </c>
      <c r="O28" s="5">
        <v>2.2087253595559631E-3</v>
      </c>
      <c r="P28" s="5">
        <v>-3.5761627516701644E-3</v>
      </c>
      <c r="Q28" s="5">
        <v>-1.0744539282978138E-2</v>
      </c>
      <c r="R28" s="5">
        <v>-2.0919362223742244E-2</v>
      </c>
      <c r="S28" s="5">
        <v>-5.7438411792514188E-3</v>
      </c>
      <c r="T28" s="5">
        <v>1.1778718528621113E-3</v>
      </c>
      <c r="U28" s="5">
        <v>6.6445427186687667E-3</v>
      </c>
      <c r="V28" s="5">
        <v>1.7777782459993396E-3</v>
      </c>
      <c r="W28" s="5">
        <v>1.5575740326558396E-2</v>
      </c>
      <c r="X28" s="5">
        <v>2.2312274809266341E-3</v>
      </c>
      <c r="Z28" s="6"/>
      <c r="AA28" s="6">
        <v>1</v>
      </c>
      <c r="AB28" s="6">
        <v>2</v>
      </c>
      <c r="AC28" s="6">
        <v>3</v>
      </c>
      <c r="AD28" s="6">
        <v>4</v>
      </c>
      <c r="AE28" s="6">
        <v>5</v>
      </c>
      <c r="AF28" s="6">
        <v>6</v>
      </c>
      <c r="AG28" s="6">
        <v>7</v>
      </c>
      <c r="AH28" s="6">
        <v>8</v>
      </c>
      <c r="AI28" s="6">
        <v>9</v>
      </c>
      <c r="AJ28" s="6">
        <v>10</v>
      </c>
      <c r="AL28" s="8" t="s">
        <v>286</v>
      </c>
      <c r="AM28" s="3">
        <v>7.525620923557623E-2</v>
      </c>
      <c r="AN28" s="3">
        <v>0.23189199826500029</v>
      </c>
      <c r="AO28" s="3">
        <v>0.20987793556308207</v>
      </c>
      <c r="AP28" s="3">
        <v>-7.03947366565187E-2</v>
      </c>
      <c r="AQ28" s="3">
        <v>0.37225685161929845</v>
      </c>
      <c r="AR28" s="3">
        <v>8.8999068156546159E-3</v>
      </c>
      <c r="AS28" s="3">
        <v>2.4708077494015004E-2</v>
      </c>
      <c r="AT28" s="3">
        <v>2.3715374733978639E-2</v>
      </c>
      <c r="AU28" s="3">
        <v>2.8172014974790341E-2</v>
      </c>
      <c r="AV28" s="3">
        <v>-3.0618538309195108E-2</v>
      </c>
      <c r="AW28" s="7"/>
      <c r="AZ28" s="3" t="s">
        <v>34</v>
      </c>
      <c r="BA28" s="3">
        <v>23</v>
      </c>
      <c r="BB28" s="3">
        <v>1.0001986058441392</v>
      </c>
      <c r="BC28" s="3">
        <v>1.0002432589117163</v>
      </c>
      <c r="BD28" s="3">
        <v>0.90208427571790761</v>
      </c>
      <c r="BE28" s="3">
        <v>0.47246615082977517</v>
      </c>
      <c r="BG28" s="3">
        <v>1.0854268091567115E-2</v>
      </c>
      <c r="BH28" s="3">
        <v>9.3786450620849428E-3</v>
      </c>
      <c r="BI28" s="3">
        <v>8.272421353088158E-3</v>
      </c>
      <c r="BJ28" s="3">
        <v>4.5715657622116268E-3</v>
      </c>
    </row>
    <row r="29" spans="1:62" x14ac:dyDescent="0.2">
      <c r="A29" s="3" t="s">
        <v>37</v>
      </c>
      <c r="B29" s="3">
        <v>77.099999999999994</v>
      </c>
      <c r="C29" s="3">
        <v>90.65</v>
      </c>
      <c r="D29" s="3">
        <v>15.073</v>
      </c>
      <c r="E29" s="3">
        <v>64.8</v>
      </c>
      <c r="F29" s="3">
        <v>54.4</v>
      </c>
      <c r="G29" s="3">
        <v>173.6</v>
      </c>
      <c r="H29" s="3">
        <v>38.226999999999997</v>
      </c>
      <c r="I29" s="3">
        <v>120.8</v>
      </c>
      <c r="J29" s="3">
        <v>11.26</v>
      </c>
      <c r="K29" s="3">
        <v>87.35</v>
      </c>
      <c r="L29" s="3">
        <v>26521.429688</v>
      </c>
      <c r="N29" s="5">
        <v>9.6806177107238156E-3</v>
      </c>
      <c r="O29" s="5">
        <v>3.8535693159893469E-3</v>
      </c>
      <c r="P29" s="5">
        <v>4.7653806508085594E-3</v>
      </c>
      <c r="Q29" s="5">
        <v>9.2166551049244205E-3</v>
      </c>
      <c r="R29" s="5">
        <v>4.5850607606507943E-3</v>
      </c>
      <c r="S29" s="5">
        <v>8.0321716972644452E-3</v>
      </c>
      <c r="T29" s="5">
        <v>8.2843176858959922E-3</v>
      </c>
      <c r="U29" s="5">
        <v>9.8847592325421729E-3</v>
      </c>
      <c r="V29" s="5">
        <v>1.0600805986640705E-2</v>
      </c>
      <c r="W29" s="5">
        <v>5.7224608142369959E-4</v>
      </c>
      <c r="X29" s="5">
        <v>5.4838794942266844E-3</v>
      </c>
      <c r="Z29" s="6" t="s">
        <v>269</v>
      </c>
      <c r="AA29" s="19">
        <f t="array" ref="AA29:AJ38">eigenvector(AA3:AJ12)</f>
        <v>0.30943176576903642</v>
      </c>
      <c r="AB29" s="20">
        <v>-0.29379584576020867</v>
      </c>
      <c r="AC29" s="20">
        <v>5.4543042181097449E-2</v>
      </c>
      <c r="AD29" s="20">
        <v>-0.33993195911457524</v>
      </c>
      <c r="AE29" s="20">
        <v>0.60653066620466156</v>
      </c>
      <c r="AF29" s="20">
        <v>0.12933161408732061</v>
      </c>
      <c r="AG29" s="20">
        <v>0.53877469739291473</v>
      </c>
      <c r="AH29" s="20">
        <v>-7.4849251342142237E-2</v>
      </c>
      <c r="AI29" s="20">
        <v>-3.9696854801139709E-3</v>
      </c>
      <c r="AJ29" s="21">
        <v>-0.13749488805056886</v>
      </c>
      <c r="AL29" s="8" t="s">
        <v>8</v>
      </c>
      <c r="AM29" s="3">
        <v>81.8</v>
      </c>
      <c r="AN29" s="3">
        <v>86.25</v>
      </c>
      <c r="AO29" s="3">
        <v>14.345000000000001</v>
      </c>
      <c r="AP29" s="3">
        <v>66.900000000000006</v>
      </c>
      <c r="AQ29" s="3">
        <v>53</v>
      </c>
      <c r="AR29" s="3">
        <v>180.6</v>
      </c>
      <c r="AS29" s="3">
        <v>36.545000000000002</v>
      </c>
      <c r="AT29" s="3">
        <v>111.5</v>
      </c>
      <c r="AU29" s="3">
        <v>10.52</v>
      </c>
      <c r="AV29" s="3">
        <v>86.5</v>
      </c>
      <c r="AW29" s="7"/>
      <c r="AZ29" s="3" t="s">
        <v>35</v>
      </c>
      <c r="BA29" s="3">
        <v>24</v>
      </c>
      <c r="BB29" s="3">
        <v>1.0111141626789697</v>
      </c>
      <c r="BC29" s="3">
        <v>1.0096683134486388</v>
      </c>
      <c r="BD29" s="3">
        <v>0.9095776483778869</v>
      </c>
      <c r="BE29" s="3">
        <v>0.47463100552620563</v>
      </c>
      <c r="BG29" s="3">
        <v>1.1519857738525584E-2</v>
      </c>
      <c r="BH29" s="3">
        <v>1.1415376431062567E-2</v>
      </c>
      <c r="BI29" s="3">
        <v>7.7455269827552964E-3</v>
      </c>
      <c r="BJ29" s="3">
        <v>3.0109443484159781E-3</v>
      </c>
    </row>
    <row r="30" spans="1:62" x14ac:dyDescent="0.2">
      <c r="A30" s="3" t="s">
        <v>38</v>
      </c>
      <c r="B30" s="3">
        <v>77.849999999999994</v>
      </c>
      <c r="C30" s="3">
        <v>91</v>
      </c>
      <c r="D30" s="3">
        <v>15.145</v>
      </c>
      <c r="E30" s="3">
        <v>65.400000000000006</v>
      </c>
      <c r="F30" s="3">
        <v>54.65</v>
      </c>
      <c r="G30" s="3">
        <v>175</v>
      </c>
      <c r="H30" s="3">
        <v>38.545000000000002</v>
      </c>
      <c r="I30" s="3">
        <v>122</v>
      </c>
      <c r="J30" s="3">
        <v>11.38</v>
      </c>
      <c r="K30" s="3">
        <v>87.4</v>
      </c>
      <c r="L30" s="3">
        <v>26667.269531000002</v>
      </c>
      <c r="N30" s="5">
        <v>-1.8146965904935364E-2</v>
      </c>
      <c r="O30" s="5">
        <v>-5.496015527182152E-4</v>
      </c>
      <c r="P30" s="5">
        <v>-2.3798517214967951E-3</v>
      </c>
      <c r="Q30" s="5">
        <v>-1.3082141170501771E-2</v>
      </c>
      <c r="R30" s="5">
        <v>-1.0115028770111945E-2</v>
      </c>
      <c r="S30" s="5">
        <v>-1.3229988770881995E-2</v>
      </c>
      <c r="T30" s="5">
        <v>0</v>
      </c>
      <c r="U30" s="5">
        <v>-1.1541760440171522E-2</v>
      </c>
      <c r="V30" s="5">
        <v>-7.0547029798899707E-3</v>
      </c>
      <c r="W30" s="5">
        <v>-1.7177215789532241E-3</v>
      </c>
      <c r="X30" s="5">
        <v>-1.3931511127990959E-2</v>
      </c>
      <c r="Z30" s="6" t="s">
        <v>270</v>
      </c>
      <c r="AA30" s="22">
        <v>0.27238884516301004</v>
      </c>
      <c r="AB30" s="23">
        <v>0.62604279763990445</v>
      </c>
      <c r="AC30" s="23">
        <v>-8.5877739848753465E-2</v>
      </c>
      <c r="AD30" s="23">
        <v>5.6741389591666754E-2</v>
      </c>
      <c r="AE30" s="23">
        <v>-0.31045806500273659</v>
      </c>
      <c r="AF30" s="23">
        <v>0.18948519399784045</v>
      </c>
      <c r="AG30" s="23">
        <v>0.56470231067954679</v>
      </c>
      <c r="AH30" s="23">
        <v>-7.5623248844533808E-2</v>
      </c>
      <c r="AI30" s="23">
        <v>-0.19428388505687183</v>
      </c>
      <c r="AJ30" s="24">
        <v>0.16922620584467354</v>
      </c>
      <c r="AL30" s="8" t="s">
        <v>262</v>
      </c>
      <c r="AM30" s="3">
        <v>9.2000255789213001E-4</v>
      </c>
      <c r="AN30" s="3">
        <v>2.6886028784347859E-3</v>
      </c>
      <c r="AO30" s="3">
        <v>1.4630737927018618E-2</v>
      </c>
      <c r="AP30" s="3">
        <v>-1.0522382160914603E-3</v>
      </c>
      <c r="AQ30" s="3">
        <v>7.0237141814961969E-3</v>
      </c>
      <c r="AR30" s="3">
        <v>4.9279661216249262E-5</v>
      </c>
      <c r="AS30" s="3">
        <v>6.761000819268027E-4</v>
      </c>
      <c r="AT30" s="3">
        <v>2.1269394380249901E-4</v>
      </c>
      <c r="AU30" s="3">
        <v>2.6779481915199946E-3</v>
      </c>
      <c r="AV30" s="3">
        <v>-3.5397154114676424E-4</v>
      </c>
      <c r="AW30" s="7"/>
      <c r="AZ30" s="3" t="s">
        <v>36</v>
      </c>
      <c r="BA30" s="3">
        <v>25</v>
      </c>
      <c r="BB30" s="3">
        <v>1.0228294033858945</v>
      </c>
      <c r="BC30" s="3">
        <v>1.0212600937071581</v>
      </c>
      <c r="BD30" s="3">
        <v>0.91665016140804934</v>
      </c>
      <c r="BE30" s="3">
        <v>0.47606224668233588</v>
      </c>
      <c r="BG30" s="3">
        <v>-1.7731058556977874E-3</v>
      </c>
      <c r="BH30" s="3">
        <v>-3.5105917258501165E-3</v>
      </c>
      <c r="BI30" s="3">
        <v>-9.0233472087152267E-3</v>
      </c>
      <c r="BJ30" s="3">
        <v>-1.973614722383199E-2</v>
      </c>
    </row>
    <row r="31" spans="1:62" x14ac:dyDescent="0.2">
      <c r="A31" s="3" t="s">
        <v>39</v>
      </c>
      <c r="B31" s="3">
        <v>76.45</v>
      </c>
      <c r="C31" s="3">
        <v>90.95</v>
      </c>
      <c r="D31" s="3">
        <v>15.109</v>
      </c>
      <c r="E31" s="3">
        <v>64.55</v>
      </c>
      <c r="F31" s="3">
        <v>54.1</v>
      </c>
      <c r="G31" s="3">
        <v>172.7</v>
      </c>
      <c r="H31" s="3">
        <v>38.545000000000002</v>
      </c>
      <c r="I31" s="3">
        <v>120.6</v>
      </c>
      <c r="J31" s="3">
        <v>11.3</v>
      </c>
      <c r="K31" s="3">
        <v>87.25</v>
      </c>
      <c r="L31" s="3">
        <v>26298.330077999999</v>
      </c>
      <c r="N31" s="5">
        <v>2.3271897045191281E-2</v>
      </c>
      <c r="O31" s="5">
        <v>6.5753661563885402E-3</v>
      </c>
      <c r="P31" s="5">
        <v>8.3704558586537026E-3</v>
      </c>
      <c r="Q31" s="5">
        <v>8.4844319218726483E-3</v>
      </c>
      <c r="R31" s="5">
        <v>2.7688065681332752E-3</v>
      </c>
      <c r="S31" s="5">
        <v>1.3229988770881995E-2</v>
      </c>
      <c r="T31" s="5">
        <v>1.4065871556702803E-2</v>
      </c>
      <c r="U31" s="5">
        <v>2.5379995105357267E-2</v>
      </c>
      <c r="V31" s="5">
        <v>1.7544309650909362E-2</v>
      </c>
      <c r="W31" s="5">
        <v>1.0829401930209315E-2</v>
      </c>
      <c r="X31" s="5">
        <v>2.0025996217288622E-2</v>
      </c>
      <c r="Z31" s="6" t="s">
        <v>271</v>
      </c>
      <c r="AA31" s="22">
        <v>0.28730271833153681</v>
      </c>
      <c r="AB31" s="23">
        <v>0.55828605318847824</v>
      </c>
      <c r="AC31" s="23">
        <v>-6.6216471030159776E-2</v>
      </c>
      <c r="AD31" s="23">
        <v>7.2293500297846536E-2</v>
      </c>
      <c r="AE31" s="23">
        <v>0.55604804236940997</v>
      </c>
      <c r="AF31" s="23">
        <v>5.5802215146120979E-2</v>
      </c>
      <c r="AG31" s="23">
        <v>-0.48289979898987312</v>
      </c>
      <c r="AH31" s="23">
        <v>-0.21093507294847594</v>
      </c>
      <c r="AI31" s="23">
        <v>7.4306136231538394E-2</v>
      </c>
      <c r="AJ31" s="24">
        <v>-2.5540639177058375E-2</v>
      </c>
      <c r="AZ31" s="3" t="s">
        <v>37</v>
      </c>
      <c r="BA31" s="3">
        <v>26</v>
      </c>
      <c r="BB31" s="3">
        <v>1.021017425470421</v>
      </c>
      <c r="BC31" s="3">
        <v>1.0176811522490319</v>
      </c>
      <c r="BD31" s="3">
        <v>0.90841611393585864</v>
      </c>
      <c r="BE31" s="3">
        <v>0.46675872194800294</v>
      </c>
      <c r="BG31" s="3">
        <v>6.9426385298119522E-3</v>
      </c>
      <c r="BH31" s="3">
        <v>6.6504232595979915E-3</v>
      </c>
      <c r="BI31" s="3">
        <v>5.1078140384191867E-3</v>
      </c>
      <c r="BJ31" s="3">
        <v>2.5068193974836506E-3</v>
      </c>
    </row>
    <row r="32" spans="1:62" x14ac:dyDescent="0.2">
      <c r="A32" s="3" t="s">
        <v>40</v>
      </c>
      <c r="B32" s="3">
        <v>78.25</v>
      </c>
      <c r="C32" s="3">
        <v>91.55</v>
      </c>
      <c r="D32" s="3">
        <v>15.236000000000001</v>
      </c>
      <c r="E32" s="3">
        <v>65.099999999999994</v>
      </c>
      <c r="F32" s="3">
        <v>54.25</v>
      </c>
      <c r="G32" s="3">
        <v>175</v>
      </c>
      <c r="H32" s="3">
        <v>39.091000000000001</v>
      </c>
      <c r="I32" s="3">
        <v>123.7</v>
      </c>
      <c r="J32" s="3">
        <v>11.5</v>
      </c>
      <c r="K32" s="3">
        <v>88.2</v>
      </c>
      <c r="L32" s="3">
        <v>26830.289063</v>
      </c>
      <c r="N32" s="5">
        <v>3.826535281366894E-3</v>
      </c>
      <c r="O32" s="5">
        <v>-2.7344835195970418E-3</v>
      </c>
      <c r="P32" s="5">
        <v>-2.3656207641269411E-3</v>
      </c>
      <c r="Q32" s="5">
        <v>7.6775435633003042E-4</v>
      </c>
      <c r="R32" s="5">
        <v>3.6798569584006735E-3</v>
      </c>
      <c r="S32" s="5">
        <v>2.8530689824064481E-3</v>
      </c>
      <c r="T32" s="5">
        <v>2.3251961979120495E-3</v>
      </c>
      <c r="U32" s="5">
        <v>-1.6181233304104481E-3</v>
      </c>
      <c r="V32" s="5">
        <v>1.0380716054561034E-2</v>
      </c>
      <c r="W32" s="5">
        <v>1.5748356968138921E-2</v>
      </c>
      <c r="X32" s="5">
        <v>2.6728976890204592E-3</v>
      </c>
      <c r="Z32" s="6" t="s">
        <v>272</v>
      </c>
      <c r="AA32" s="22">
        <v>0.2989256097225354</v>
      </c>
      <c r="AB32" s="23">
        <v>-0.11355579448402667</v>
      </c>
      <c r="AC32" s="23">
        <v>0.6842174685245529</v>
      </c>
      <c r="AD32" s="23">
        <v>-0.21726870665996928</v>
      </c>
      <c r="AE32" s="23">
        <v>-0.27851205945066021</v>
      </c>
      <c r="AF32" s="23">
        <v>0.35214199960013121</v>
      </c>
      <c r="AG32" s="23">
        <v>-0.25670275177241059</v>
      </c>
      <c r="AH32" s="23">
        <v>-0.29367544603325912</v>
      </c>
      <c r="AI32" s="23">
        <v>-0.16870939929355705</v>
      </c>
      <c r="AJ32" s="24">
        <v>-1.455813659392243E-2</v>
      </c>
      <c r="AL32" s="16" t="s">
        <v>287</v>
      </c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Z32" s="3" t="s">
        <v>38</v>
      </c>
      <c r="BA32" s="3">
        <v>27</v>
      </c>
      <c r="BB32" s="3">
        <v>1.0281306440693179</v>
      </c>
      <c r="BC32" s="3">
        <v>1.0244717176941789</v>
      </c>
      <c r="BD32" s="3">
        <v>0.91306800489843787</v>
      </c>
      <c r="BE32" s="3">
        <v>0.46793026958177919</v>
      </c>
      <c r="BG32" s="3">
        <v>-7.6073887537402227E-3</v>
      </c>
      <c r="BH32" s="3">
        <v>-7.776848731659701E-3</v>
      </c>
      <c r="BI32" s="3">
        <v>-6.0308837525458459E-3</v>
      </c>
      <c r="BJ32" s="3">
        <v>-4.6788894635436673E-3</v>
      </c>
    </row>
    <row r="33" spans="1:62" x14ac:dyDescent="0.2">
      <c r="A33" s="3" t="s">
        <v>41</v>
      </c>
      <c r="B33" s="3">
        <v>78.55</v>
      </c>
      <c r="C33" s="3">
        <v>91.3</v>
      </c>
      <c r="D33" s="3">
        <v>15.2</v>
      </c>
      <c r="E33" s="3">
        <v>65.150000000000006</v>
      </c>
      <c r="F33" s="3">
        <v>54.45</v>
      </c>
      <c r="G33" s="3">
        <v>175.5</v>
      </c>
      <c r="H33" s="3">
        <v>39.182000000000002</v>
      </c>
      <c r="I33" s="3">
        <v>123.5</v>
      </c>
      <c r="J33" s="3">
        <v>11.62</v>
      </c>
      <c r="K33" s="3">
        <v>89.6</v>
      </c>
      <c r="L33" s="3">
        <v>26902.099609000001</v>
      </c>
      <c r="N33" s="5">
        <v>-3.826535281366894E-3</v>
      </c>
      <c r="O33" s="5">
        <v>-5.4915019936752074E-3</v>
      </c>
      <c r="P33" s="5">
        <v>-1.1849122576541582E-3</v>
      </c>
      <c r="Q33" s="5">
        <v>0</v>
      </c>
      <c r="R33" s="5">
        <v>-6.4486635265339487E-3</v>
      </c>
      <c r="S33" s="5">
        <v>-2.2818036141147857E-3</v>
      </c>
      <c r="T33" s="5">
        <v>-1.0493329559560394E-2</v>
      </c>
      <c r="U33" s="5">
        <v>-1.6326893287429201E-2</v>
      </c>
      <c r="V33" s="5">
        <v>-2.0870322725580426E-2</v>
      </c>
      <c r="W33" s="5">
        <v>1.1154490838656272E-3</v>
      </c>
      <c r="X33" s="5">
        <v>-5.4593853490523259E-3</v>
      </c>
      <c r="Z33" s="6" t="s">
        <v>273</v>
      </c>
      <c r="AA33" s="22">
        <v>0.27627927046943457</v>
      </c>
      <c r="AB33" s="23">
        <v>7.6836830057155012E-3</v>
      </c>
      <c r="AC33" s="23">
        <v>-0.45075786111268101</v>
      </c>
      <c r="AD33" s="23">
        <v>-0.75430659188936255</v>
      </c>
      <c r="AE33" s="23">
        <v>-0.26223730146752089</v>
      </c>
      <c r="AF33" s="23">
        <v>-8.2034103637420683E-2</v>
      </c>
      <c r="AG33" s="23">
        <v>-0.23857582465559671</v>
      </c>
      <c r="AH33" s="23">
        <v>0.1197538057675543</v>
      </c>
      <c r="AI33" s="23">
        <v>3.9054613712645715E-2</v>
      </c>
      <c r="AJ33" s="24">
        <v>5.6275966477730831E-2</v>
      </c>
      <c r="AL33" s="16" t="s">
        <v>264</v>
      </c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Z33" s="3" t="s">
        <v>39</v>
      </c>
      <c r="BA33" s="3">
        <v>28</v>
      </c>
      <c r="BB33" s="3">
        <v>1.0203389294483813</v>
      </c>
      <c r="BC33" s="3">
        <v>1.0165354556687487</v>
      </c>
      <c r="BD33" s="3">
        <v>0.90757796942567881</v>
      </c>
      <c r="BE33" s="3">
        <v>0.46574598956100177</v>
      </c>
      <c r="BG33" s="3">
        <v>1.3080161730716983E-2</v>
      </c>
      <c r="BH33" s="3">
        <v>1.1832159314984325E-2</v>
      </c>
      <c r="BI33" s="3">
        <v>7.6212003617530943E-3</v>
      </c>
      <c r="BJ33" s="3">
        <v>-9.2940563013788058E-5</v>
      </c>
    </row>
    <row r="34" spans="1:62" x14ac:dyDescent="0.2">
      <c r="A34" s="3" t="s">
        <v>42</v>
      </c>
      <c r="B34" s="3">
        <v>78.25</v>
      </c>
      <c r="C34" s="3">
        <v>90.8</v>
      </c>
      <c r="D34" s="3">
        <v>15.182</v>
      </c>
      <c r="E34" s="3">
        <v>65.150000000000006</v>
      </c>
      <c r="F34" s="3">
        <v>54.1</v>
      </c>
      <c r="G34" s="3">
        <v>175.1</v>
      </c>
      <c r="H34" s="3">
        <v>38.773000000000003</v>
      </c>
      <c r="I34" s="3">
        <v>121.5</v>
      </c>
      <c r="J34" s="3">
        <v>11.38</v>
      </c>
      <c r="K34" s="3">
        <v>89.7</v>
      </c>
      <c r="L34" s="3">
        <v>26755.630859000001</v>
      </c>
      <c r="N34" s="5">
        <v>1.2067469400117048E-2</v>
      </c>
      <c r="O34" s="5">
        <v>-2.7571012778251358E-3</v>
      </c>
      <c r="P34" s="5">
        <v>0</v>
      </c>
      <c r="Q34" s="5">
        <v>3.0651364993774521E-3</v>
      </c>
      <c r="R34" s="5">
        <v>3.6900410874540768E-3</v>
      </c>
      <c r="S34" s="5">
        <v>-4.579286765831192E-3</v>
      </c>
      <c r="T34" s="5">
        <v>1.1641157103353894E-2</v>
      </c>
      <c r="U34" s="5">
        <v>2.0367302824434219E-2</v>
      </c>
      <c r="V34" s="5">
        <v>2.7731413105525515E-2</v>
      </c>
      <c r="W34" s="5">
        <v>1.1086588056341107E-2</v>
      </c>
      <c r="X34" s="5">
        <v>1.2449625581577806E-2</v>
      </c>
      <c r="Z34" s="6" t="s">
        <v>274</v>
      </c>
      <c r="AA34" s="22">
        <v>0.34187639488590671</v>
      </c>
      <c r="AB34" s="23">
        <v>0.12948964914049046</v>
      </c>
      <c r="AC34" s="23">
        <v>0.44989424922149368</v>
      </c>
      <c r="AD34" s="23">
        <v>-1.4127832457715052E-2</v>
      </c>
      <c r="AE34" s="23">
        <v>-9.7793809850536713E-3</v>
      </c>
      <c r="AF34" s="23">
        <v>-0.70094951941847949</v>
      </c>
      <c r="AG34" s="23">
        <v>7.4528725695085632E-2</v>
      </c>
      <c r="AH34" s="23">
        <v>0.33888720846877424</v>
      </c>
      <c r="AI34" s="23">
        <v>0.2020513645479457</v>
      </c>
      <c r="AJ34" s="24">
        <v>0.10535103347446029</v>
      </c>
      <c r="AL34" s="16" t="s">
        <v>22</v>
      </c>
      <c r="AM34" s="17" t="s">
        <v>269</v>
      </c>
      <c r="AN34" s="17" t="s">
        <v>270</v>
      </c>
      <c r="AO34" s="17" t="s">
        <v>271</v>
      </c>
      <c r="AP34" s="17" t="s">
        <v>272</v>
      </c>
      <c r="AQ34" s="17" t="s">
        <v>273</v>
      </c>
      <c r="AR34" s="17" t="s">
        <v>274</v>
      </c>
      <c r="AS34" s="17" t="s">
        <v>275</v>
      </c>
      <c r="AT34" s="17" t="s">
        <v>276</v>
      </c>
      <c r="AU34" s="17" t="s">
        <v>277</v>
      </c>
      <c r="AV34" s="17" t="s">
        <v>278</v>
      </c>
      <c r="AW34" s="17" t="s">
        <v>22</v>
      </c>
      <c r="AX34" s="17" t="s">
        <v>265</v>
      </c>
      <c r="AZ34" s="3" t="s">
        <v>40</v>
      </c>
      <c r="BA34" s="3">
        <v>29</v>
      </c>
      <c r="BB34" s="3">
        <v>1.033772794697281</v>
      </c>
      <c r="BC34" s="3">
        <v>1.0286347040894412</v>
      </c>
      <c r="BD34" s="3">
        <v>0.9145212273475829</v>
      </c>
      <c r="BE34" s="3">
        <v>0.46570270487799315</v>
      </c>
      <c r="BG34" s="3">
        <v>3.2678149113225738E-3</v>
      </c>
      <c r="BH34" s="3">
        <v>2.7327451261404297E-3</v>
      </c>
      <c r="BI34" s="3">
        <v>3.265593029473518E-4</v>
      </c>
      <c r="BJ34" s="3">
        <v>-3.0251245625840806E-3</v>
      </c>
    </row>
    <row r="35" spans="1:62" x14ac:dyDescent="0.2">
      <c r="A35" s="3" t="s">
        <v>43</v>
      </c>
      <c r="B35" s="3">
        <v>79.2</v>
      </c>
      <c r="C35" s="3">
        <v>90.55</v>
      </c>
      <c r="D35" s="3">
        <v>15.182</v>
      </c>
      <c r="E35" s="3">
        <v>65.349999999999994</v>
      </c>
      <c r="F35" s="3">
        <v>54.3</v>
      </c>
      <c r="G35" s="3">
        <v>174.3</v>
      </c>
      <c r="H35" s="3">
        <v>39.226999999999997</v>
      </c>
      <c r="I35" s="3">
        <v>124</v>
      </c>
      <c r="J35" s="3">
        <v>11.7</v>
      </c>
      <c r="K35" s="3">
        <v>90.7</v>
      </c>
      <c r="L35" s="3">
        <v>27090.810547000001</v>
      </c>
      <c r="N35" s="5">
        <v>3.7807228399060477E-3</v>
      </c>
      <c r="O35" s="5">
        <v>-3.8727572608445726E-3</v>
      </c>
      <c r="P35" s="5">
        <v>4.796802574056791E-3</v>
      </c>
      <c r="Q35" s="5">
        <v>0</v>
      </c>
      <c r="R35" s="5">
        <v>-9.2123451932080158E-4</v>
      </c>
      <c r="S35" s="5">
        <v>2.8645106954598987E-3</v>
      </c>
      <c r="T35" s="5">
        <v>5.7954967633642163E-3</v>
      </c>
      <c r="U35" s="5">
        <v>1.6116038943412292E-3</v>
      </c>
      <c r="V35" s="5">
        <v>-6.8610903799450895E-3</v>
      </c>
      <c r="W35" s="5">
        <v>-1.6676317535127438E-2</v>
      </c>
      <c r="X35" s="5">
        <v>3.8951487017584441E-3</v>
      </c>
      <c r="Z35" s="6" t="s">
        <v>275</v>
      </c>
      <c r="AA35" s="22">
        <v>0.35845327544528666</v>
      </c>
      <c r="AB35" s="23">
        <v>-6.5273387846608188E-2</v>
      </c>
      <c r="AC35" s="23">
        <v>-6.1686027597552137E-2</v>
      </c>
      <c r="AD35" s="23">
        <v>0.25603360522017066</v>
      </c>
      <c r="AE35" s="23">
        <v>-2.5381819501796514E-2</v>
      </c>
      <c r="AF35" s="23">
        <v>0.35829606822239102</v>
      </c>
      <c r="AG35" s="23">
        <v>-0.12061391758554919</v>
      </c>
      <c r="AH35" s="23">
        <v>0.71697602734891386</v>
      </c>
      <c r="AI35" s="23">
        <v>-0.14584732713758675</v>
      </c>
      <c r="AJ35" s="24">
        <v>-0.3449611110725081</v>
      </c>
      <c r="AL35" s="3">
        <v>1</v>
      </c>
      <c r="AM35" s="3">
        <v>0.30943176576903642</v>
      </c>
      <c r="AN35" s="3">
        <v>0.27238884516301004</v>
      </c>
      <c r="AO35" s="3">
        <v>0.28730271833153681</v>
      </c>
      <c r="AP35" s="3">
        <v>0.2989256097225354</v>
      </c>
      <c r="AQ35" s="3">
        <v>0.27627927046943457</v>
      </c>
      <c r="AR35" s="3">
        <v>0.34187639488590671</v>
      </c>
      <c r="AS35" s="3">
        <v>0.35845327544528666</v>
      </c>
      <c r="AT35" s="3">
        <v>0.36270764216794532</v>
      </c>
      <c r="AU35" s="3">
        <v>0.34806790525818582</v>
      </c>
      <c r="AV35" s="3">
        <v>0.28939656450712098</v>
      </c>
      <c r="AW35" s="3">
        <v>5.6628288726611089</v>
      </c>
      <c r="AX35" s="3">
        <v>0.4202263500896144</v>
      </c>
      <c r="AZ35" s="3" t="s">
        <v>41</v>
      </c>
      <c r="BA35" s="3">
        <v>30</v>
      </c>
      <c r="BB35" s="3">
        <v>1.0371564984984758</v>
      </c>
      <c r="BC35" s="3">
        <v>1.0314495449331742</v>
      </c>
      <c r="BD35" s="3">
        <v>0.91481992153014369</v>
      </c>
      <c r="BE35" s="3">
        <v>0.46429602495036015</v>
      </c>
      <c r="BG35" s="3">
        <v>-6.8036029461754979E-3</v>
      </c>
      <c r="BH35" s="3">
        <v>-5.8101961879212273E-3</v>
      </c>
      <c r="BI35" s="3">
        <v>-6.296079416096334E-3</v>
      </c>
      <c r="BJ35" s="3">
        <v>-5.0382233005870081E-3</v>
      </c>
    </row>
    <row r="36" spans="1:62" x14ac:dyDescent="0.2">
      <c r="A36" s="3" t="s">
        <v>44</v>
      </c>
      <c r="B36" s="3">
        <v>79.5</v>
      </c>
      <c r="C36" s="3">
        <v>90.2</v>
      </c>
      <c r="D36" s="3">
        <v>15.255000000000001</v>
      </c>
      <c r="E36" s="3">
        <v>65.349999999999994</v>
      </c>
      <c r="F36" s="3">
        <v>54.25</v>
      </c>
      <c r="G36" s="3">
        <v>174.8</v>
      </c>
      <c r="H36" s="3">
        <v>39.454999999999998</v>
      </c>
      <c r="I36" s="3">
        <v>124.2</v>
      </c>
      <c r="J36" s="3">
        <v>11.62</v>
      </c>
      <c r="K36" s="3">
        <v>89.2</v>
      </c>
      <c r="L36" s="3">
        <v>27196.539063</v>
      </c>
      <c r="N36" s="5">
        <v>-1.6487374109020791E-2</v>
      </c>
      <c r="O36" s="5">
        <v>7.7305741148547824E-3</v>
      </c>
      <c r="P36" s="5">
        <v>1.17924541967529E-3</v>
      </c>
      <c r="Q36" s="5">
        <v>-3.8328908557074826E-3</v>
      </c>
      <c r="R36" s="5">
        <v>-8.329525252830372E-3</v>
      </c>
      <c r="S36" s="5">
        <v>1.024482494842438E-2</v>
      </c>
      <c r="T36" s="5">
        <v>-1.5092409713181709E-2</v>
      </c>
      <c r="U36" s="5">
        <v>-4.0338901009357997E-3</v>
      </c>
      <c r="V36" s="5">
        <v>-1.7226533114462761E-3</v>
      </c>
      <c r="W36" s="5">
        <v>-1.1217051091998442E-3</v>
      </c>
      <c r="X36" s="5">
        <v>-7.05105630858327E-3</v>
      </c>
      <c r="Z36" s="6" t="s">
        <v>276</v>
      </c>
      <c r="AA36" s="22">
        <v>0.36270764216794532</v>
      </c>
      <c r="AB36" s="23">
        <v>-0.16778754565581408</v>
      </c>
      <c r="AC36" s="23">
        <v>-0.16772172850664654</v>
      </c>
      <c r="AD36" s="23">
        <v>0.26778032608286328</v>
      </c>
      <c r="AE36" s="23">
        <v>-0.24458644560750278</v>
      </c>
      <c r="AF36" s="23">
        <v>9.6853120607781867E-2</v>
      </c>
      <c r="AG36" s="23">
        <v>6.1657500887445982E-2</v>
      </c>
      <c r="AH36" s="23">
        <v>-0.28204093187225027</v>
      </c>
      <c r="AI36" s="23">
        <v>0.74809964348296443</v>
      </c>
      <c r="AJ36" s="24">
        <v>-0.16807366537532709</v>
      </c>
      <c r="AL36" s="3">
        <v>2</v>
      </c>
      <c r="AM36" s="3">
        <v>-0.29379584576020928</v>
      </c>
      <c r="AN36" s="3">
        <v>0.62604279763990445</v>
      </c>
      <c r="AO36" s="3">
        <v>0.55828605318847813</v>
      </c>
      <c r="AP36" s="3">
        <v>-0.11355579448402661</v>
      </c>
      <c r="AQ36" s="3">
        <v>7.6836830057155185E-3</v>
      </c>
      <c r="AR36" s="3">
        <v>0.12948964914049038</v>
      </c>
      <c r="AS36" s="3">
        <v>-6.5273387846608161E-2</v>
      </c>
      <c r="AT36" s="3">
        <v>-0.16778754565581402</v>
      </c>
      <c r="AU36" s="3">
        <v>-0.22227313792553774</v>
      </c>
      <c r="AV36" s="3">
        <v>-0.31389639881826931</v>
      </c>
      <c r="AW36" s="3">
        <v>0.8852675224504678</v>
      </c>
      <c r="AX36" s="3">
        <v>1.062827380520551</v>
      </c>
      <c r="AZ36" s="3" t="s">
        <v>42</v>
      </c>
      <c r="BA36" s="3">
        <v>31</v>
      </c>
      <c r="BB36" s="3">
        <v>1.0301240476184894</v>
      </c>
      <c r="BC36" s="3">
        <v>1.0254739970822342</v>
      </c>
      <c r="BD36" s="3">
        <v>0.90907823667166965</v>
      </c>
      <c r="BE36" s="3">
        <v>0.46196268078928471</v>
      </c>
      <c r="BG36" s="3">
        <v>8.4940669074266423E-3</v>
      </c>
      <c r="BH36" s="3">
        <v>6.7663872099212249E-3</v>
      </c>
      <c r="BI36" s="3">
        <v>2.9638620812250521E-3</v>
      </c>
      <c r="BJ36" s="3">
        <v>-4.5043075795176968E-3</v>
      </c>
    </row>
    <row r="37" spans="1:62" x14ac:dyDescent="0.2">
      <c r="A37" s="3" t="s">
        <v>45</v>
      </c>
      <c r="B37" s="3">
        <v>78.2</v>
      </c>
      <c r="C37" s="3">
        <v>90.9</v>
      </c>
      <c r="D37" s="3">
        <v>15.273</v>
      </c>
      <c r="E37" s="3">
        <v>65.099999999999994</v>
      </c>
      <c r="F37" s="3">
        <v>53.8</v>
      </c>
      <c r="G37" s="3">
        <v>176.6</v>
      </c>
      <c r="H37" s="3">
        <v>38.863999999999997</v>
      </c>
      <c r="I37" s="3">
        <v>123.7</v>
      </c>
      <c r="J37" s="3">
        <v>11.6</v>
      </c>
      <c r="K37" s="3">
        <v>89.1</v>
      </c>
      <c r="L37" s="3">
        <v>27005.449218999998</v>
      </c>
      <c r="N37" s="5">
        <v>1.0178204915756162E-2</v>
      </c>
      <c r="O37" s="5">
        <v>4.9382816405829644E-3</v>
      </c>
      <c r="P37" s="5">
        <v>7.1114310465536512E-3</v>
      </c>
      <c r="Q37" s="5">
        <v>-2.3068060979154481E-3</v>
      </c>
      <c r="R37" s="5">
        <v>0</v>
      </c>
      <c r="S37" s="5">
        <v>2.2624444039696101E-3</v>
      </c>
      <c r="T37" s="5">
        <v>6.9743872449454791E-3</v>
      </c>
      <c r="U37" s="5">
        <v>1.2053179267555336E-2</v>
      </c>
      <c r="V37" s="5">
        <v>8.5837436913913656E-3</v>
      </c>
      <c r="W37" s="5">
        <v>5.5959855041205486E-3</v>
      </c>
      <c r="X37" s="5">
        <v>1.0182611550568765E-4</v>
      </c>
      <c r="Z37" s="6" t="s">
        <v>277</v>
      </c>
      <c r="AA37" s="22">
        <v>0.34806790525818582</v>
      </c>
      <c r="AB37" s="23">
        <v>-0.22227313792553785</v>
      </c>
      <c r="AC37" s="23">
        <v>-0.24756342236273765</v>
      </c>
      <c r="AD37" s="23">
        <v>0.26067012979622434</v>
      </c>
      <c r="AE37" s="23">
        <v>-9.9417028445405564E-2</v>
      </c>
      <c r="AF37" s="23">
        <v>-0.41617713104599963</v>
      </c>
      <c r="AG37" s="23">
        <v>-4.8921141413223547E-2</v>
      </c>
      <c r="AH37" s="23">
        <v>-0.3638810608876159</v>
      </c>
      <c r="AI37" s="23">
        <v>-0.54486614743289663</v>
      </c>
      <c r="AJ37" s="24">
        <v>-0.29229753284478988</v>
      </c>
      <c r="AL37" s="3">
        <v>3</v>
      </c>
      <c r="AM37" s="3">
        <v>-5.4543042181097449E-2</v>
      </c>
      <c r="AN37" s="3">
        <v>8.5877739848753465E-2</v>
      </c>
      <c r="AO37" s="3">
        <v>6.6216471030159776E-2</v>
      </c>
      <c r="AP37" s="3">
        <v>-0.6842174685245529</v>
      </c>
      <c r="AQ37" s="3">
        <v>0.45075786111268101</v>
      </c>
      <c r="AR37" s="3">
        <v>-0.44989424922149368</v>
      </c>
      <c r="AS37" s="3">
        <v>6.1686027597552137E-2</v>
      </c>
      <c r="AT37" s="3">
        <v>0.16772172850664654</v>
      </c>
      <c r="AU37" s="3">
        <v>0.24756342236273765</v>
      </c>
      <c r="AV37" s="3">
        <v>0.13528129188782986</v>
      </c>
      <c r="AW37" s="3">
        <v>0.70552025814059727</v>
      </c>
      <c r="AX37" s="3">
        <v>1.1905434657256657</v>
      </c>
      <c r="AZ37" s="3" t="s">
        <v>43</v>
      </c>
      <c r="BA37" s="3">
        <v>32</v>
      </c>
      <c r="BB37" s="3">
        <v>1.0389112569414427</v>
      </c>
      <c r="BC37" s="3">
        <v>1.0324362794058262</v>
      </c>
      <c r="BD37" s="3">
        <v>0.91177661602300686</v>
      </c>
      <c r="BE37" s="3">
        <v>0.4598865380876051</v>
      </c>
      <c r="BG37" s="3">
        <v>-1.0005331164443174E-3</v>
      </c>
      <c r="BH37" s="3">
        <v>-6.8566281135326937E-4</v>
      </c>
      <c r="BI37" s="3">
        <v>6.4676814504656399E-4</v>
      </c>
      <c r="BJ37" s="3">
        <v>2.3923639017888743E-3</v>
      </c>
    </row>
    <row r="38" spans="1:62" x14ac:dyDescent="0.2">
      <c r="A38" s="3" t="s">
        <v>46</v>
      </c>
      <c r="B38" s="3">
        <v>79</v>
      </c>
      <c r="C38" s="3">
        <v>91.35</v>
      </c>
      <c r="D38" s="3">
        <v>15.382</v>
      </c>
      <c r="E38" s="3">
        <v>64.95</v>
      </c>
      <c r="F38" s="3">
        <v>53.8</v>
      </c>
      <c r="G38" s="3">
        <v>177</v>
      </c>
      <c r="H38" s="3">
        <v>39.136000000000003</v>
      </c>
      <c r="I38" s="3">
        <v>125.2</v>
      </c>
      <c r="J38" s="3">
        <v>11.7</v>
      </c>
      <c r="K38" s="3">
        <v>89.6</v>
      </c>
      <c r="L38" s="3">
        <v>27008.199218999998</v>
      </c>
      <c r="N38" s="5">
        <v>1.2578782206859707E-2</v>
      </c>
      <c r="O38" s="5">
        <v>7.090294225024607E-3</v>
      </c>
      <c r="P38" s="5">
        <v>3.5044490405100603E-3</v>
      </c>
      <c r="Q38" s="5">
        <v>5.3742931657767556E-3</v>
      </c>
      <c r="R38" s="5">
        <v>-2.7919980910309228E-3</v>
      </c>
      <c r="S38" s="5">
        <v>4.509590505975325E-3</v>
      </c>
      <c r="T38" s="5">
        <v>1.8430901474341344E-2</v>
      </c>
      <c r="U38" s="5">
        <v>8.7475706904474038E-3</v>
      </c>
      <c r="V38" s="5">
        <v>1.7079423451562548E-3</v>
      </c>
      <c r="W38" s="5">
        <v>1.8247672481716215E-2</v>
      </c>
      <c r="X38" s="5">
        <v>4.1671207231637197E-3</v>
      </c>
      <c r="Z38" s="6" t="s">
        <v>278</v>
      </c>
      <c r="AA38" s="25">
        <v>0.28939656450712098</v>
      </c>
      <c r="AB38" s="26">
        <v>-0.31389639881826947</v>
      </c>
      <c r="AC38" s="26">
        <v>-0.13528129188782986</v>
      </c>
      <c r="AD38" s="26">
        <v>0.23325561081346197</v>
      </c>
      <c r="AE38" s="26">
        <v>9.8809907860084659E-2</v>
      </c>
      <c r="AF38" s="26">
        <v>0.10597637917109128</v>
      </c>
      <c r="AG38" s="26">
        <v>-9.2352636445003078E-2</v>
      </c>
      <c r="AH38" s="26">
        <v>5.2375467811178487E-2</v>
      </c>
      <c r="AI38" s="26">
        <v>-9.0000530631378486E-2</v>
      </c>
      <c r="AJ38" s="27">
        <v>0.83943003634332169</v>
      </c>
      <c r="AL38" s="3">
        <v>4</v>
      </c>
      <c r="AM38" s="3">
        <v>0.33993195911457524</v>
      </c>
      <c r="AN38" s="3">
        <v>-5.6741389591666754E-2</v>
      </c>
      <c r="AO38" s="3">
        <v>-7.2293500297846536E-2</v>
      </c>
      <c r="AP38" s="3">
        <v>0.21726870665996928</v>
      </c>
      <c r="AQ38" s="3">
        <v>0.75430659188936255</v>
      </c>
      <c r="AR38" s="3">
        <v>1.4127832457715052E-2</v>
      </c>
      <c r="AS38" s="3">
        <v>-0.25603360522017066</v>
      </c>
      <c r="AT38" s="3">
        <v>-0.26778032608286328</v>
      </c>
      <c r="AU38" s="3">
        <v>-0.26067012979622434</v>
      </c>
      <c r="AV38" s="3">
        <v>-0.23325561081346197</v>
      </c>
      <c r="AW38" s="3">
        <v>0.63545350497250541</v>
      </c>
      <c r="AX38" s="3">
        <v>1.2544637331096573</v>
      </c>
      <c r="AZ38" s="3" t="s">
        <v>44</v>
      </c>
      <c r="BA38" s="3">
        <v>33</v>
      </c>
      <c r="BB38" s="3">
        <v>1.0378723116600772</v>
      </c>
      <c r="BC38" s="3">
        <v>1.0317286188799231</v>
      </c>
      <c r="BD38" s="3">
        <v>0.9123665148369664</v>
      </c>
      <c r="BE38" s="3">
        <v>0.46098807114883411</v>
      </c>
      <c r="BG38" s="3">
        <v>-3.1359090465139794E-3</v>
      </c>
      <c r="BH38" s="3">
        <v>-3.0494723407534993E-3</v>
      </c>
      <c r="BI38" s="3">
        <v>-2.6159876282411537E-3</v>
      </c>
      <c r="BJ38" s="3">
        <v>-2.9502284068262385E-3</v>
      </c>
    </row>
    <row r="39" spans="1:62" x14ac:dyDescent="0.2">
      <c r="A39" s="3" t="s">
        <v>47</v>
      </c>
      <c r="B39" s="3">
        <v>80</v>
      </c>
      <c r="C39" s="3">
        <v>92</v>
      </c>
      <c r="D39" s="3">
        <v>15.436</v>
      </c>
      <c r="E39" s="3">
        <v>65.3</v>
      </c>
      <c r="F39" s="3">
        <v>53.65</v>
      </c>
      <c r="G39" s="3">
        <v>177.8</v>
      </c>
      <c r="H39" s="3">
        <v>39.863999999999997</v>
      </c>
      <c r="I39" s="3">
        <v>126.3</v>
      </c>
      <c r="J39" s="3">
        <v>11.72</v>
      </c>
      <c r="K39" s="3">
        <v>91.25</v>
      </c>
      <c r="L39" s="3">
        <v>27120.980468999998</v>
      </c>
      <c r="N39" s="5">
        <v>1.2422519998557924E-2</v>
      </c>
      <c r="O39" s="5">
        <v>-1.0379770875423411E-2</v>
      </c>
      <c r="P39" s="5">
        <v>8.2581114469348904E-3</v>
      </c>
      <c r="Q39" s="5">
        <v>9.1464052260761264E-3</v>
      </c>
      <c r="R39" s="5">
        <v>0</v>
      </c>
      <c r="S39" s="5">
        <v>1.0072832788295294E-2</v>
      </c>
      <c r="T39" s="5">
        <v>1.2464637623178731E-2</v>
      </c>
      <c r="U39" s="5">
        <v>2.1152375005226709E-2</v>
      </c>
      <c r="V39" s="5">
        <v>1.1874609420712723E-2</v>
      </c>
      <c r="W39" s="5">
        <v>5.4644944720791955E-3</v>
      </c>
      <c r="X39" s="5">
        <v>1.6391209597095724E-2</v>
      </c>
      <c r="AL39" s="8" t="s">
        <v>286</v>
      </c>
      <c r="AM39" s="3">
        <v>4.563920151913621E-2</v>
      </c>
      <c r="AN39" s="3">
        <v>0.20643813273310316</v>
      </c>
      <c r="AO39" s="3">
        <v>0.17877469353079892</v>
      </c>
      <c r="AP39" s="3">
        <v>-0.13673634975689825</v>
      </c>
      <c r="AQ39" s="3">
        <v>0.40914929180752724</v>
      </c>
      <c r="AR39" s="3">
        <v>-6.0234603097345123E-2</v>
      </c>
      <c r="AS39" s="3">
        <v>-4.2384222220136443E-2</v>
      </c>
      <c r="AT39" s="3">
        <v>-4.1280059425100032E-2</v>
      </c>
      <c r="AU39" s="3">
        <v>-3.111888614122469E-2</v>
      </c>
      <c r="AV39" s="3">
        <v>-8.7462510808328953E-2</v>
      </c>
      <c r="AW39" s="7"/>
      <c r="AX39" s="17" t="s">
        <v>5</v>
      </c>
      <c r="AZ39" s="3" t="s">
        <v>45</v>
      </c>
      <c r="BA39" s="3">
        <v>34</v>
      </c>
      <c r="BB39" s="3">
        <v>1.0346227363381471</v>
      </c>
      <c r="BC39" s="3">
        <v>1.0285871832883824</v>
      </c>
      <c r="BD39" s="3">
        <v>0.90998289444180058</v>
      </c>
      <c r="BE39" s="3">
        <v>0.45963005525964618</v>
      </c>
      <c r="BG39" s="3">
        <v>5.6623696018207464E-3</v>
      </c>
      <c r="BH39" s="3">
        <v>4.9534429320454536E-3</v>
      </c>
      <c r="BI39" s="3">
        <v>4.727272132646676E-3</v>
      </c>
      <c r="BJ39" s="3">
        <v>3.0040694806193757E-3</v>
      </c>
    </row>
    <row r="40" spans="1:62" x14ac:dyDescent="0.2">
      <c r="A40" s="3" t="s">
        <v>48</v>
      </c>
      <c r="B40" s="3">
        <v>81</v>
      </c>
      <c r="C40" s="3">
        <v>91.05</v>
      </c>
      <c r="D40" s="3">
        <v>15.564</v>
      </c>
      <c r="E40" s="3">
        <v>65.900000000000006</v>
      </c>
      <c r="F40" s="3">
        <v>53.65</v>
      </c>
      <c r="G40" s="3">
        <v>179.6</v>
      </c>
      <c r="H40" s="3">
        <v>40.363999999999997</v>
      </c>
      <c r="I40" s="3">
        <v>129</v>
      </c>
      <c r="J40" s="3">
        <v>11.86</v>
      </c>
      <c r="K40" s="3">
        <v>91.75</v>
      </c>
      <c r="L40" s="3">
        <v>27569.189452999999</v>
      </c>
      <c r="N40" s="5">
        <v>-1.9950786419348887E-2</v>
      </c>
      <c r="O40" s="5">
        <v>-1.0989012094855255E-3</v>
      </c>
      <c r="P40" s="5">
        <v>-1.2215116115901203E-3</v>
      </c>
      <c r="Q40" s="5">
        <v>-7.5901331917105352E-4</v>
      </c>
      <c r="R40" s="5">
        <v>-2.7998151747468114E-3</v>
      </c>
      <c r="S40" s="5">
        <v>-5.5834874257003619E-3</v>
      </c>
      <c r="T40" s="5">
        <v>-1.5907241317185239E-2</v>
      </c>
      <c r="U40" s="5">
        <v>-7.7821404420550522E-3</v>
      </c>
      <c r="V40" s="5">
        <v>-5.0718620979601781E-3</v>
      </c>
      <c r="W40" s="5">
        <v>-1.0408201327432032E-2</v>
      </c>
      <c r="X40" s="5">
        <v>2.8185050076423579E-4</v>
      </c>
      <c r="Z40" s="4" t="s">
        <v>283</v>
      </c>
      <c r="AL40" s="8" t="s">
        <v>8</v>
      </c>
      <c r="AM40" s="3">
        <v>81.8</v>
      </c>
      <c r="AN40" s="3">
        <v>86.25</v>
      </c>
      <c r="AO40" s="3">
        <v>14.345000000000001</v>
      </c>
      <c r="AP40" s="3">
        <v>66.900000000000006</v>
      </c>
      <c r="AQ40" s="3">
        <v>53</v>
      </c>
      <c r="AR40" s="3">
        <v>180.6</v>
      </c>
      <c r="AS40" s="3">
        <v>36.545000000000002</v>
      </c>
      <c r="AT40" s="3">
        <v>111.5</v>
      </c>
      <c r="AU40" s="3">
        <v>10.52</v>
      </c>
      <c r="AV40" s="3">
        <v>86.5</v>
      </c>
      <c r="AW40" s="7"/>
      <c r="AX40" s="5">
        <v>3.9280609294454885</v>
      </c>
      <c r="AZ40" s="3" t="s">
        <v>46</v>
      </c>
      <c r="BA40" s="3">
        <v>35</v>
      </c>
      <c r="BB40" s="3">
        <v>1.0404977702792262</v>
      </c>
      <c r="BC40" s="3">
        <v>1.0336948710776555</v>
      </c>
      <c r="BD40" s="3">
        <v>0.91429481500092147</v>
      </c>
      <c r="BE40" s="3">
        <v>0.46101289190977279</v>
      </c>
      <c r="BG40" s="3">
        <v>7.7659516485676927E-3</v>
      </c>
      <c r="BH40" s="3">
        <v>6.9832976379737288E-3</v>
      </c>
      <c r="BI40" s="3">
        <v>2.4807010034038346E-3</v>
      </c>
      <c r="BJ40" s="3">
        <v>-5.0724932933265965E-3</v>
      </c>
    </row>
    <row r="41" spans="1:62" x14ac:dyDescent="0.2">
      <c r="A41" s="3" t="s">
        <v>49</v>
      </c>
      <c r="B41" s="3">
        <v>79.400000000000006</v>
      </c>
      <c r="C41" s="3">
        <v>90.95</v>
      </c>
      <c r="D41" s="3">
        <v>15.545</v>
      </c>
      <c r="E41" s="3">
        <v>65.849999999999994</v>
      </c>
      <c r="F41" s="3">
        <v>53.5</v>
      </c>
      <c r="G41" s="3">
        <v>178.6</v>
      </c>
      <c r="H41" s="3">
        <v>39.726999999999997</v>
      </c>
      <c r="I41" s="3">
        <v>128</v>
      </c>
      <c r="J41" s="3">
        <v>11.8</v>
      </c>
      <c r="K41" s="3">
        <v>90.8</v>
      </c>
      <c r="L41" s="3">
        <v>27576.960938</v>
      </c>
      <c r="N41" s="5">
        <v>-6.3171404012614119E-3</v>
      </c>
      <c r="O41" s="5">
        <v>-5.499037806986351E-4</v>
      </c>
      <c r="P41" s="5">
        <v>1.2215116115901203E-3</v>
      </c>
      <c r="Q41" s="5">
        <v>1.5174509740329967E-3</v>
      </c>
      <c r="R41" s="5">
        <v>-1.0333581854545137E-2</v>
      </c>
      <c r="S41" s="5">
        <v>0</v>
      </c>
      <c r="T41" s="5">
        <v>5.7227635413292788E-3</v>
      </c>
      <c r="U41" s="5">
        <v>1.3193827402781189E-2</v>
      </c>
      <c r="V41" s="5">
        <v>6.7567824628795847E-3</v>
      </c>
      <c r="W41" s="5">
        <v>1.6506193568837091E-3</v>
      </c>
      <c r="X41" s="5">
        <v>-1.6433452059825271E-3</v>
      </c>
      <c r="Z41" s="6" t="s">
        <v>258</v>
      </c>
      <c r="AA41" s="6">
        <v>1</v>
      </c>
      <c r="AB41" s="6">
        <v>2</v>
      </c>
      <c r="AC41" s="6">
        <v>3</v>
      </c>
      <c r="AD41" s="6">
        <v>4</v>
      </c>
      <c r="AE41" s="6">
        <v>5</v>
      </c>
      <c r="AF41" s="6">
        <v>6</v>
      </c>
      <c r="AG41" s="6">
        <v>7</v>
      </c>
      <c r="AH41" s="6">
        <v>8</v>
      </c>
      <c r="AI41" s="6">
        <v>9</v>
      </c>
      <c r="AJ41" s="6">
        <v>10</v>
      </c>
      <c r="AL41" s="8" t="s">
        <v>262</v>
      </c>
      <c r="AM41" s="3">
        <v>5.5793644888919576E-4</v>
      </c>
      <c r="AN41" s="3">
        <v>2.393485596905544E-3</v>
      </c>
      <c r="AO41" s="3">
        <v>1.2462509134248791E-2</v>
      </c>
      <c r="AP41" s="3">
        <v>-2.0438916256636506E-3</v>
      </c>
      <c r="AQ41" s="3">
        <v>7.7197979586325896E-3</v>
      </c>
      <c r="AR41" s="3">
        <v>-3.3352493409382684E-4</v>
      </c>
      <c r="AS41" s="3">
        <v>-1.1597816998258706E-3</v>
      </c>
      <c r="AT41" s="3">
        <v>-3.702247482071752E-4</v>
      </c>
      <c r="AU41" s="3">
        <v>-2.9580690248312445E-3</v>
      </c>
      <c r="AV41" s="3">
        <v>-1.0111272925818376E-3</v>
      </c>
      <c r="AW41" s="7"/>
      <c r="AX41" s="7"/>
      <c r="AZ41" s="3" t="s">
        <v>47</v>
      </c>
      <c r="BA41" s="3">
        <v>36</v>
      </c>
      <c r="BB41" s="3">
        <v>1.0486096832465128</v>
      </c>
      <c r="BC41" s="3">
        <v>1.0409387336152165</v>
      </c>
      <c r="BD41" s="3">
        <v>0.91656572262273539</v>
      </c>
      <c r="BE41" s="3">
        <v>0.4586803280660901</v>
      </c>
      <c r="BG41" s="3">
        <v>8.1730088214525404E-3</v>
      </c>
      <c r="BH41" s="3">
        <v>6.9747586931940692E-3</v>
      </c>
      <c r="BI41" s="3">
        <v>8.7917434801701444E-4</v>
      </c>
      <c r="BJ41" s="3">
        <v>-9.741507207929434E-3</v>
      </c>
    </row>
    <row r="42" spans="1:62" x14ac:dyDescent="0.2">
      <c r="A42" s="3" t="s">
        <v>50</v>
      </c>
      <c r="B42" s="3">
        <v>78.900000000000006</v>
      </c>
      <c r="C42" s="3">
        <v>90.9</v>
      </c>
      <c r="D42" s="3">
        <v>15.564</v>
      </c>
      <c r="E42" s="3">
        <v>65.95</v>
      </c>
      <c r="F42" s="3">
        <v>52.95</v>
      </c>
      <c r="G42" s="3">
        <v>178.6</v>
      </c>
      <c r="H42" s="3">
        <v>39.954999999999998</v>
      </c>
      <c r="I42" s="3">
        <v>129.69999999999999</v>
      </c>
      <c r="J42" s="3">
        <v>11.88</v>
      </c>
      <c r="K42" s="3">
        <v>90.95</v>
      </c>
      <c r="L42" s="3">
        <v>27531.679688</v>
      </c>
      <c r="N42" s="5">
        <v>2.5316469217795401E-3</v>
      </c>
      <c r="O42" s="5">
        <v>1.2028575865607571E-2</v>
      </c>
      <c r="P42" s="5">
        <v>-2.3801111232746308E-3</v>
      </c>
      <c r="Q42" s="5">
        <v>5.293018028493357E-3</v>
      </c>
      <c r="R42" s="5">
        <v>-2.8368813351997701E-3</v>
      </c>
      <c r="S42" s="5">
        <v>5.0265394859341228E-3</v>
      </c>
      <c r="T42" s="5">
        <v>7.92744840643822E-3</v>
      </c>
      <c r="U42" s="5">
        <v>8.4453477007002675E-3</v>
      </c>
      <c r="V42" s="5">
        <v>1.171561517256281E-2</v>
      </c>
      <c r="W42" s="5">
        <v>2.1965961605401318E-3</v>
      </c>
      <c r="X42" s="5">
        <v>4.0297605745553966E-3</v>
      </c>
      <c r="Z42" s="6" t="s">
        <v>22</v>
      </c>
      <c r="AA42" s="6">
        <v>5.6509079706213985</v>
      </c>
      <c r="AB42" s="6">
        <v>0.88528836713731818</v>
      </c>
      <c r="AC42" s="6">
        <v>0.70518911404800388</v>
      </c>
      <c r="AD42" s="6">
        <v>0.63737071871490925</v>
      </c>
      <c r="AE42" s="6">
        <v>0.41156018710868636</v>
      </c>
      <c r="AF42" s="6">
        <v>0.28513398413949509</v>
      </c>
      <c r="AG42" s="6">
        <v>0.47954106986702005</v>
      </c>
      <c r="AH42" s="6">
        <v>0.22168792986420222</v>
      </c>
      <c r="AI42" s="6">
        <v>0.18617552574666041</v>
      </c>
      <c r="AJ42" s="6">
        <v>0.53714513275230236</v>
      </c>
      <c r="AZ42" s="3" t="s">
        <v>48</v>
      </c>
      <c r="BA42" s="3">
        <v>37</v>
      </c>
      <c r="BB42" s="3">
        <v>1.0572150975996191</v>
      </c>
      <c r="BC42" s="3">
        <v>1.0482244084729546</v>
      </c>
      <c r="BD42" s="3">
        <v>0.91737189802677699</v>
      </c>
      <c r="BE42" s="3">
        <v>0.45423378353049609</v>
      </c>
      <c r="BG42" s="3">
        <v>-7.0473521912569476E-3</v>
      </c>
      <c r="BH42" s="3">
        <v>-6.3531842493962445E-3</v>
      </c>
      <c r="BI42" s="3">
        <v>-3.862863563001348E-3</v>
      </c>
      <c r="BJ42" s="3">
        <v>3.4332377424084459E-4</v>
      </c>
    </row>
    <row r="43" spans="1:62" x14ac:dyDescent="0.2">
      <c r="A43" s="3" t="s">
        <v>51</v>
      </c>
      <c r="B43" s="3">
        <v>79.099999999999994</v>
      </c>
      <c r="C43" s="3">
        <v>92</v>
      </c>
      <c r="D43" s="3">
        <v>15.526999999999999</v>
      </c>
      <c r="E43" s="3">
        <v>66.3</v>
      </c>
      <c r="F43" s="3">
        <v>52.8</v>
      </c>
      <c r="G43" s="3">
        <v>179.5</v>
      </c>
      <c r="H43" s="3">
        <v>40.273000000000003</v>
      </c>
      <c r="I43" s="3">
        <v>130.80000000000001</v>
      </c>
      <c r="J43" s="3">
        <v>12.02</v>
      </c>
      <c r="K43" s="3">
        <v>91.15</v>
      </c>
      <c r="L43" s="3">
        <v>27642.849609000001</v>
      </c>
      <c r="N43" s="5">
        <v>-1.8981340719568252E-3</v>
      </c>
      <c r="O43" s="5">
        <v>-1.2578782206860595E-2</v>
      </c>
      <c r="P43" s="5">
        <v>-3.4838744914966746E-3</v>
      </c>
      <c r="Q43" s="5">
        <v>6.0150557297617979E-3</v>
      </c>
      <c r="R43" s="5">
        <v>-9.4741835604006397E-4</v>
      </c>
      <c r="S43" s="5">
        <v>5.5694793976623913E-4</v>
      </c>
      <c r="T43" s="5">
        <v>3.3712632014086807E-3</v>
      </c>
      <c r="U43" s="5">
        <v>3.0534374868897984E-3</v>
      </c>
      <c r="V43" s="5">
        <v>2.3027333271310457E-2</v>
      </c>
      <c r="W43" s="5">
        <v>1.6861971447137414E-2</v>
      </c>
      <c r="X43" s="5">
        <v>1.0780687930683541E-2</v>
      </c>
      <c r="Z43" s="6" t="s">
        <v>269</v>
      </c>
      <c r="AA43" s="3">
        <v>0.30943176576903642</v>
      </c>
      <c r="AB43" s="3">
        <v>-0.29379584576020928</v>
      </c>
      <c r="AC43" s="3">
        <v>5.4543042181097449E-2</v>
      </c>
      <c r="AD43" s="3">
        <v>0.33993195911457524</v>
      </c>
      <c r="AE43" s="3">
        <v>0.60653066620466145</v>
      </c>
      <c r="AF43" s="3">
        <v>0.12933161408732061</v>
      </c>
      <c r="AG43" s="3">
        <v>-0.53877469739291473</v>
      </c>
      <c r="AH43" s="3">
        <v>-7.4849251342142237E-2</v>
      </c>
      <c r="AI43" s="3">
        <v>-3.9696854801139709E-3</v>
      </c>
      <c r="AJ43" s="3">
        <v>0.13749488805056886</v>
      </c>
      <c r="AZ43" s="3" t="s">
        <v>49</v>
      </c>
      <c r="BA43" s="3">
        <v>38</v>
      </c>
      <c r="BB43" s="3">
        <v>1.0497907222864513</v>
      </c>
      <c r="BC43" s="3">
        <v>1.0415859556570932</v>
      </c>
      <c r="BD43" s="3">
        <v>0.91383505112466501</v>
      </c>
      <c r="BE43" s="3">
        <v>0.45438975956105315</v>
      </c>
      <c r="BG43" s="3">
        <v>1.5775383379175931E-3</v>
      </c>
      <c r="BH43" s="3">
        <v>3.950468998986309E-4</v>
      </c>
      <c r="BI43" s="3">
        <v>-3.9558387480124468E-3</v>
      </c>
      <c r="BJ43" s="3">
        <v>-1.3056683473463337E-2</v>
      </c>
    </row>
    <row r="44" spans="1:62" x14ac:dyDescent="0.2">
      <c r="A44" s="3" t="s">
        <v>52</v>
      </c>
      <c r="B44" s="3">
        <v>78.95</v>
      </c>
      <c r="C44" s="3">
        <v>90.85</v>
      </c>
      <c r="D44" s="3">
        <v>15.473000000000001</v>
      </c>
      <c r="E44" s="3">
        <v>66.7</v>
      </c>
      <c r="F44" s="3">
        <v>52.75</v>
      </c>
      <c r="G44" s="3">
        <v>179.6</v>
      </c>
      <c r="H44" s="3">
        <v>40.408999999999999</v>
      </c>
      <c r="I44" s="3">
        <v>131.19999999999999</v>
      </c>
      <c r="J44" s="3">
        <v>12.3</v>
      </c>
      <c r="K44" s="3">
        <v>92.7</v>
      </c>
      <c r="L44" s="3">
        <v>27942.470702999999</v>
      </c>
      <c r="N44" s="5">
        <v>3.1615581187285358E-3</v>
      </c>
      <c r="O44" s="5">
        <v>-4.4125830008754363E-3</v>
      </c>
      <c r="P44" s="5">
        <v>4.6424740031811851E-3</v>
      </c>
      <c r="Q44" s="5">
        <v>-9.036206063937513E-3</v>
      </c>
      <c r="R44" s="5">
        <v>-4.7506027585977328E-3</v>
      </c>
      <c r="S44" s="5">
        <v>-3.3463500273445135E-3</v>
      </c>
      <c r="T44" s="5">
        <v>0</v>
      </c>
      <c r="U44" s="5">
        <v>-9.1884260544059515E-3</v>
      </c>
      <c r="V44" s="5">
        <v>9.7088141269607853E-3</v>
      </c>
      <c r="W44" s="5">
        <v>-1.850896605495933E-2</v>
      </c>
      <c r="X44" s="5">
        <v>-4.1989601011316324E-4</v>
      </c>
      <c r="Z44" s="6" t="s">
        <v>270</v>
      </c>
      <c r="AA44" s="3">
        <v>0.27238884516301004</v>
      </c>
      <c r="AB44" s="3">
        <v>0.62604279763990445</v>
      </c>
      <c r="AC44" s="3">
        <v>-8.5877739848753465E-2</v>
      </c>
      <c r="AD44" s="3">
        <v>-5.6741389591666754E-2</v>
      </c>
      <c r="AE44" s="3">
        <v>-0.31045806500273671</v>
      </c>
      <c r="AF44" s="3">
        <v>0.18948519399784045</v>
      </c>
      <c r="AG44" s="3">
        <v>-0.56470231067954679</v>
      </c>
      <c r="AH44" s="3">
        <v>-7.5623248844533808E-2</v>
      </c>
      <c r="AI44" s="3">
        <v>-0.19428388505687183</v>
      </c>
      <c r="AJ44" s="3">
        <v>-0.16922620584467354</v>
      </c>
      <c r="AZ44" s="3" t="s">
        <v>50</v>
      </c>
      <c r="BA44" s="3">
        <v>39</v>
      </c>
      <c r="BB44" s="3">
        <v>1.0514481143536927</v>
      </c>
      <c r="BC44" s="3">
        <v>1.0419975122465785</v>
      </c>
      <c r="BD44" s="3">
        <v>0.9102272077482717</v>
      </c>
      <c r="BE44" s="3">
        <v>0.44849549977511338</v>
      </c>
      <c r="BG44" s="3">
        <v>5.1407412232829935E-3</v>
      </c>
      <c r="BH44" s="3">
        <v>4.4139690232462211E-3</v>
      </c>
      <c r="BI44" s="3">
        <v>2.1682257180160869E-3</v>
      </c>
      <c r="BJ44" s="3">
        <v>-2.8638994791595485E-3</v>
      </c>
    </row>
    <row r="45" spans="1:62" x14ac:dyDescent="0.2">
      <c r="A45" s="3" t="s">
        <v>53</v>
      </c>
      <c r="B45" s="3">
        <v>79.2</v>
      </c>
      <c r="C45" s="3">
        <v>90.45</v>
      </c>
      <c r="D45" s="3">
        <v>15.545</v>
      </c>
      <c r="E45" s="3">
        <v>66.099999999999994</v>
      </c>
      <c r="F45" s="3">
        <v>52.5</v>
      </c>
      <c r="G45" s="3">
        <v>179</v>
      </c>
      <c r="H45" s="3">
        <v>40.408999999999999</v>
      </c>
      <c r="I45" s="3">
        <v>130</v>
      </c>
      <c r="J45" s="3">
        <v>12.42</v>
      </c>
      <c r="K45" s="3">
        <v>91</v>
      </c>
      <c r="L45" s="3">
        <v>27930.740234000001</v>
      </c>
      <c r="N45" s="5">
        <v>-2.5284463533585821E-3</v>
      </c>
      <c r="O45" s="5">
        <v>5.5263886457623812E-4</v>
      </c>
      <c r="P45" s="5">
        <v>-1.1585995116845105E-3</v>
      </c>
      <c r="Q45" s="5">
        <v>-2.2718676943176419E-3</v>
      </c>
      <c r="R45" s="5">
        <v>-2.8612322810324109E-3</v>
      </c>
      <c r="S45" s="5">
        <v>-2.2371373983558485E-3</v>
      </c>
      <c r="T45" s="5">
        <v>-2.2545130760414089E-3</v>
      </c>
      <c r="U45" s="5">
        <v>3.0721990369704244E-3</v>
      </c>
      <c r="V45" s="5">
        <v>-6.4620580280911888E-3</v>
      </c>
      <c r="W45" s="5">
        <v>1.0929070532190721E-2</v>
      </c>
      <c r="X45" s="5">
        <v>2.1269568980422093E-3</v>
      </c>
      <c r="Z45" s="6" t="s">
        <v>271</v>
      </c>
      <c r="AA45" s="3">
        <v>0.28730271833153681</v>
      </c>
      <c r="AB45" s="3">
        <v>0.55828605318847813</v>
      </c>
      <c r="AC45" s="3">
        <v>-6.6216471030159776E-2</v>
      </c>
      <c r="AD45" s="3">
        <v>-7.2293500297846536E-2</v>
      </c>
      <c r="AE45" s="3">
        <v>0.55604804236940997</v>
      </c>
      <c r="AF45" s="3">
        <v>5.5802215146120979E-2</v>
      </c>
      <c r="AG45" s="3">
        <v>0.48289979898987312</v>
      </c>
      <c r="AH45" s="3">
        <v>-0.21093507294847594</v>
      </c>
      <c r="AI45" s="3">
        <v>7.4306136231538394E-2</v>
      </c>
      <c r="AJ45" s="3">
        <v>2.5540639177058375E-2</v>
      </c>
      <c r="AZ45" s="3" t="s">
        <v>51</v>
      </c>
      <c r="BA45" s="3">
        <v>40</v>
      </c>
      <c r="BB45" s="3">
        <v>1.0568672542829132</v>
      </c>
      <c r="BC45" s="3">
        <v>1.0466070226219704</v>
      </c>
      <c r="BD45" s="3">
        <v>0.91220292691788574</v>
      </c>
      <c r="BE45" s="3">
        <v>0.44721289125449343</v>
      </c>
      <c r="BG45" s="3">
        <v>3.6363981465436998E-3</v>
      </c>
      <c r="BH45" s="3">
        <v>2.1917438607654618E-3</v>
      </c>
      <c r="BI45" s="3">
        <v>-4.8449734123888616E-3</v>
      </c>
      <c r="BJ45" s="3">
        <v>-1.6793138249434625E-2</v>
      </c>
    </row>
    <row r="46" spans="1:62" x14ac:dyDescent="0.2">
      <c r="A46" s="3" t="s">
        <v>54</v>
      </c>
      <c r="B46" s="3">
        <v>79</v>
      </c>
      <c r="C46" s="3">
        <v>90.5</v>
      </c>
      <c r="D46" s="3">
        <v>15.526999999999999</v>
      </c>
      <c r="E46" s="3">
        <v>65.95</v>
      </c>
      <c r="F46" s="3">
        <v>52.35</v>
      </c>
      <c r="G46" s="3">
        <v>178.6</v>
      </c>
      <c r="H46" s="3">
        <v>40.317999999999998</v>
      </c>
      <c r="I46" s="3">
        <v>130.4</v>
      </c>
      <c r="J46" s="3">
        <v>12.34</v>
      </c>
      <c r="K46" s="3">
        <v>92</v>
      </c>
      <c r="L46" s="3">
        <v>27990.210938</v>
      </c>
      <c r="N46" s="5">
        <v>-1.2666246151926686E-3</v>
      </c>
      <c r="O46" s="5">
        <v>1.5351178655761188E-2</v>
      </c>
      <c r="P46" s="5">
        <v>1.5148415333724685E-2</v>
      </c>
      <c r="Q46" s="5">
        <v>-1.5174509740329967E-3</v>
      </c>
      <c r="R46" s="5">
        <v>1.9083975257605523E-3</v>
      </c>
      <c r="S46" s="5">
        <v>3.9117121686880196E-3</v>
      </c>
      <c r="T46" s="5">
        <v>8.9877148220636194E-3</v>
      </c>
      <c r="U46" s="5">
        <v>6.1162270174355271E-3</v>
      </c>
      <c r="V46" s="5">
        <v>9.6774948820654849E-3</v>
      </c>
      <c r="W46" s="5">
        <v>-9.8307727831281611E-3</v>
      </c>
      <c r="X46" s="5">
        <v>-1.5693012428865671E-3</v>
      </c>
      <c r="Z46" s="6" t="s">
        <v>272</v>
      </c>
      <c r="AA46" s="3">
        <v>0.2989256097225354</v>
      </c>
      <c r="AB46" s="3">
        <v>-0.11355579448402661</v>
      </c>
      <c r="AC46" s="3">
        <v>0.6842174685245529</v>
      </c>
      <c r="AD46" s="3">
        <v>0.21726870665996928</v>
      </c>
      <c r="AE46" s="3">
        <v>-0.27851205945066021</v>
      </c>
      <c r="AF46" s="3">
        <v>0.35214199960013121</v>
      </c>
      <c r="AG46" s="3">
        <v>0.25670275177241059</v>
      </c>
      <c r="AH46" s="3">
        <v>-0.29367544603325912</v>
      </c>
      <c r="AI46" s="3">
        <v>-0.16870939929355705</v>
      </c>
      <c r="AJ46" s="3">
        <v>1.455813659392243E-2</v>
      </c>
      <c r="AZ46" s="3" t="s">
        <v>52</v>
      </c>
      <c r="BA46" s="3">
        <v>41</v>
      </c>
      <c r="BB46" s="3">
        <v>1.0607174405699602</v>
      </c>
      <c r="BC46" s="3">
        <v>1.0489034327906006</v>
      </c>
      <c r="BD46" s="3">
        <v>0.90779401714006436</v>
      </c>
      <c r="BE46" s="3">
        <v>0.43976549097494899</v>
      </c>
      <c r="BG46" s="3">
        <v>-3.0761186356076595E-3</v>
      </c>
      <c r="BH46" s="3">
        <v>-3.2964487065546694E-3</v>
      </c>
      <c r="BI46" s="3">
        <v>-3.0662329563495294E-4</v>
      </c>
      <c r="BJ46" s="3">
        <v>3.1424366391857861E-3</v>
      </c>
    </row>
    <row r="47" spans="1:62" x14ac:dyDescent="0.2">
      <c r="A47" s="3" t="s">
        <v>55</v>
      </c>
      <c r="B47" s="3">
        <v>78.900000000000006</v>
      </c>
      <c r="C47" s="3">
        <v>91.9</v>
      </c>
      <c r="D47" s="3">
        <v>15.763999999999999</v>
      </c>
      <c r="E47" s="3">
        <v>65.849999999999994</v>
      </c>
      <c r="F47" s="3">
        <v>52.45</v>
      </c>
      <c r="G47" s="3">
        <v>179.3</v>
      </c>
      <c r="H47" s="3">
        <v>40.682000000000002</v>
      </c>
      <c r="I47" s="3">
        <v>131.19999999999999</v>
      </c>
      <c r="J47" s="3">
        <v>12.46</v>
      </c>
      <c r="K47" s="3">
        <v>91.1</v>
      </c>
      <c r="L47" s="3">
        <v>27946.320313</v>
      </c>
      <c r="N47" s="5">
        <v>2.1937576719389007E-2</v>
      </c>
      <c r="O47" s="5">
        <v>2.1739138996190732E-3</v>
      </c>
      <c r="P47" s="5">
        <v>9.1561274903453338E-3</v>
      </c>
      <c r="Q47" s="5">
        <v>2.2753138371349735E-3</v>
      </c>
      <c r="R47" s="5">
        <v>9.4877372051094255E-3</v>
      </c>
      <c r="S47" s="5">
        <v>7.2242603717977971E-3</v>
      </c>
      <c r="T47" s="5">
        <v>2.2343634610249019E-3</v>
      </c>
      <c r="U47" s="5">
        <v>6.8363350182911731E-3</v>
      </c>
      <c r="V47" s="5">
        <v>1.6038495819743481E-3</v>
      </c>
      <c r="W47" s="5">
        <v>4.9274668546077649E-3</v>
      </c>
      <c r="X47" s="5">
        <v>7.0429589401896919E-3</v>
      </c>
      <c r="Z47" s="6" t="s">
        <v>273</v>
      </c>
      <c r="AA47" s="3">
        <v>0.27627927046943457</v>
      </c>
      <c r="AB47" s="3">
        <v>7.6836830057155185E-3</v>
      </c>
      <c r="AC47" s="3">
        <v>-0.45075786111268101</v>
      </c>
      <c r="AD47" s="3">
        <v>0.75430659188936255</v>
      </c>
      <c r="AE47" s="3">
        <v>-0.26223730146752083</v>
      </c>
      <c r="AF47" s="3">
        <v>-8.2034103637420683E-2</v>
      </c>
      <c r="AG47" s="3">
        <v>0.23857582465559671</v>
      </c>
      <c r="AH47" s="3">
        <v>0.1197538057675543</v>
      </c>
      <c r="AI47" s="3">
        <v>3.9054613712645715E-2</v>
      </c>
      <c r="AJ47" s="3">
        <v>-5.6275966477730831E-2</v>
      </c>
      <c r="AZ47" s="3" t="s">
        <v>53</v>
      </c>
      <c r="BA47" s="3">
        <v>42</v>
      </c>
      <c r="BB47" s="3">
        <v>1.0574595612645057</v>
      </c>
      <c r="BC47" s="3">
        <v>1.045451469162713</v>
      </c>
      <c r="BD47" s="3">
        <v>0.90751570901682865</v>
      </c>
      <c r="BE47" s="3">
        <v>0.44114959976452928</v>
      </c>
      <c r="BG47" s="3">
        <v>-5.0641297306123351E-4</v>
      </c>
      <c r="BH47" s="3">
        <v>-6.530247297760472E-4</v>
      </c>
      <c r="BI47" s="3">
        <v>-1.9556091895591848E-3</v>
      </c>
      <c r="BJ47" s="3">
        <v>-3.9776323076103903E-3</v>
      </c>
    </row>
    <row r="48" spans="1:62" x14ac:dyDescent="0.2">
      <c r="A48" s="3" t="s">
        <v>56</v>
      </c>
      <c r="B48" s="3">
        <v>80.650000000000006</v>
      </c>
      <c r="C48" s="3">
        <v>92.1</v>
      </c>
      <c r="D48" s="3">
        <v>15.909000000000001</v>
      </c>
      <c r="E48" s="3">
        <v>66</v>
      </c>
      <c r="F48" s="3">
        <v>52.95</v>
      </c>
      <c r="G48" s="3">
        <v>180.6</v>
      </c>
      <c r="H48" s="3">
        <v>40.773000000000003</v>
      </c>
      <c r="I48" s="3">
        <v>132.1</v>
      </c>
      <c r="J48" s="3">
        <v>12.48</v>
      </c>
      <c r="K48" s="3">
        <v>91.55</v>
      </c>
      <c r="L48" s="3">
        <v>28143.839843999998</v>
      </c>
      <c r="N48" s="5">
        <v>-1.6250357598799781E-2</v>
      </c>
      <c r="O48" s="5">
        <v>-5.4303558217405623E-4</v>
      </c>
      <c r="P48" s="5">
        <v>1.5901560393124736E-2</v>
      </c>
      <c r="Q48" s="5">
        <v>3.7807228399060477E-3</v>
      </c>
      <c r="R48" s="5">
        <v>7.5259057003465024E-3</v>
      </c>
      <c r="S48" s="5">
        <v>5.5218251843083266E-3</v>
      </c>
      <c r="T48" s="5">
        <v>-2.2343634610249019E-3</v>
      </c>
      <c r="U48" s="5">
        <v>1.5128595926308108E-3</v>
      </c>
      <c r="V48" s="5">
        <v>0</v>
      </c>
      <c r="W48" s="5">
        <v>1.0323373397859825E-2</v>
      </c>
      <c r="X48" s="5">
        <v>9.7629950230526674E-4</v>
      </c>
      <c r="Z48" s="6" t="s">
        <v>274</v>
      </c>
      <c r="AA48" s="3">
        <v>0.34187639488590671</v>
      </c>
      <c r="AB48" s="3">
        <v>0.12948964914049038</v>
      </c>
      <c r="AC48" s="3">
        <v>0.44989424922149368</v>
      </c>
      <c r="AD48" s="3">
        <v>1.4127832457715052E-2</v>
      </c>
      <c r="AE48" s="3">
        <v>-9.7793809850536696E-3</v>
      </c>
      <c r="AF48" s="3">
        <v>-0.70094951941847949</v>
      </c>
      <c r="AG48" s="3">
        <v>-7.4528725695085632E-2</v>
      </c>
      <c r="AH48" s="3">
        <v>0.33888720846877424</v>
      </c>
      <c r="AI48" s="3">
        <v>0.2020513645479457</v>
      </c>
      <c r="AJ48" s="3">
        <v>-0.10535103347446029</v>
      </c>
      <c r="AZ48" s="3" t="s">
        <v>54</v>
      </c>
      <c r="BA48" s="3">
        <v>43</v>
      </c>
      <c r="BB48" s="3">
        <v>1.0569241855962273</v>
      </c>
      <c r="BC48" s="3">
        <v>1.0447689863628953</v>
      </c>
      <c r="BD48" s="3">
        <v>0.90574269718078582</v>
      </c>
      <c r="BE48" s="3">
        <v>0.43939835407867822</v>
      </c>
      <c r="BG48" s="3">
        <v>5.0901564341354344E-3</v>
      </c>
      <c r="BH48" s="3">
        <v>5.0951997906175453E-3</v>
      </c>
      <c r="BI48" s="3">
        <v>9.9288794327362789E-3</v>
      </c>
      <c r="BJ48" s="3">
        <v>1.5420620437583854E-2</v>
      </c>
    </row>
    <row r="49" spans="1:62" x14ac:dyDescent="0.2">
      <c r="A49" s="3" t="s">
        <v>57</v>
      </c>
      <c r="B49" s="3">
        <v>79.349999999999994</v>
      </c>
      <c r="C49" s="3">
        <v>92.05</v>
      </c>
      <c r="D49" s="3">
        <v>16.164000000000001</v>
      </c>
      <c r="E49" s="3">
        <v>66.25</v>
      </c>
      <c r="F49" s="3">
        <v>53.35</v>
      </c>
      <c r="G49" s="3">
        <v>181.6</v>
      </c>
      <c r="H49" s="3">
        <v>40.682000000000002</v>
      </c>
      <c r="I49" s="3">
        <v>132.30000000000001</v>
      </c>
      <c r="J49" s="3">
        <v>12.48</v>
      </c>
      <c r="K49" s="3">
        <v>92.5</v>
      </c>
      <c r="L49" s="3">
        <v>28171.330077999999</v>
      </c>
      <c r="N49" s="5">
        <v>1.1278315037706932E-2</v>
      </c>
      <c r="O49" s="5">
        <v>1.0805075409172638E-2</v>
      </c>
      <c r="P49" s="5">
        <v>7.8262608678052459E-3</v>
      </c>
      <c r="Q49" s="5">
        <v>1.2748579111304892E-2</v>
      </c>
      <c r="R49" s="5">
        <v>0</v>
      </c>
      <c r="S49" s="5">
        <v>1.9089753412258936E-2</v>
      </c>
      <c r="T49" s="5">
        <v>1.3307647339650064E-2</v>
      </c>
      <c r="U49" s="5">
        <v>5.2770571008435851E-3</v>
      </c>
      <c r="V49" s="5">
        <v>1.5898586067798259E-2</v>
      </c>
      <c r="W49" s="5">
        <v>-2.1645030095731599E-3</v>
      </c>
      <c r="X49" s="5">
        <v>1.1514719931360773E-2</v>
      </c>
      <c r="Z49" s="6" t="s">
        <v>275</v>
      </c>
      <c r="AA49" s="3">
        <v>0.35845327544528666</v>
      </c>
      <c r="AB49" s="3">
        <v>-6.5273387846608161E-2</v>
      </c>
      <c r="AC49" s="3">
        <v>-6.1686027597552137E-2</v>
      </c>
      <c r="AD49" s="3">
        <v>-0.25603360522017066</v>
      </c>
      <c r="AE49" s="3">
        <v>-2.5381819501796511E-2</v>
      </c>
      <c r="AF49" s="3">
        <v>0.35829606822239102</v>
      </c>
      <c r="AG49" s="3">
        <v>0.12061391758554919</v>
      </c>
      <c r="AH49" s="3">
        <v>0.71697602734891386</v>
      </c>
      <c r="AI49" s="3">
        <v>-0.14584732713758675</v>
      </c>
      <c r="AJ49" s="3">
        <v>0.3449611110725081</v>
      </c>
      <c r="AZ49" s="3" t="s">
        <v>55</v>
      </c>
      <c r="BA49" s="3">
        <v>44</v>
      </c>
      <c r="BB49" s="3">
        <v>1.0623178105918285</v>
      </c>
      <c r="BC49" s="3">
        <v>1.0501058778015837</v>
      </c>
      <c r="BD49" s="3">
        <v>0.91478050060099669</v>
      </c>
      <c r="BE49" s="3">
        <v>0.44622666238187947</v>
      </c>
      <c r="BG49" s="3">
        <v>6.6014309868273544E-3</v>
      </c>
      <c r="BH49" s="3">
        <v>6.9232047281271927E-3</v>
      </c>
      <c r="BI49" s="3">
        <v>8.5278710226618371E-3</v>
      </c>
      <c r="BJ49" s="3">
        <v>1.2092982931149687E-2</v>
      </c>
    </row>
    <row r="50" spans="1:62" x14ac:dyDescent="0.2">
      <c r="A50" s="3" t="s">
        <v>58</v>
      </c>
      <c r="B50" s="3">
        <v>80.25</v>
      </c>
      <c r="C50" s="3">
        <v>93.05</v>
      </c>
      <c r="D50" s="3">
        <v>16.291</v>
      </c>
      <c r="E50" s="3">
        <v>67.099999999999994</v>
      </c>
      <c r="F50" s="3">
        <v>53.35</v>
      </c>
      <c r="G50" s="3">
        <v>185.1</v>
      </c>
      <c r="H50" s="3">
        <v>41.226999999999997</v>
      </c>
      <c r="I50" s="3">
        <v>133</v>
      </c>
      <c r="J50" s="3">
        <v>12.68</v>
      </c>
      <c r="K50" s="3">
        <v>92.3</v>
      </c>
      <c r="L50" s="3">
        <v>28497.589843999998</v>
      </c>
      <c r="N50" s="5">
        <v>9.3023926623141406E-3</v>
      </c>
      <c r="O50" s="5">
        <v>1.2283198494057679E-2</v>
      </c>
      <c r="P50" s="5">
        <v>-9.0024038737941403E-3</v>
      </c>
      <c r="Q50" s="5">
        <v>1.4892035514675328E-3</v>
      </c>
      <c r="R50" s="5">
        <v>0</v>
      </c>
      <c r="S50" s="5">
        <v>2.15866246803742E-3</v>
      </c>
      <c r="T50" s="5">
        <v>0</v>
      </c>
      <c r="U50" s="5">
        <v>6.7441244753734253E-3</v>
      </c>
      <c r="V50" s="5">
        <v>-6.3291350516476719E-3</v>
      </c>
      <c r="W50" s="5">
        <v>3.7848112225624675E-3</v>
      </c>
      <c r="X50" s="5">
        <v>-2.3024593598020004E-3</v>
      </c>
      <c r="Z50" s="6" t="s">
        <v>276</v>
      </c>
      <c r="AA50" s="3">
        <v>0.36270764216794532</v>
      </c>
      <c r="AB50" s="3">
        <v>-0.16778754565581402</v>
      </c>
      <c r="AC50" s="3">
        <v>-0.16772172850664654</v>
      </c>
      <c r="AD50" s="3">
        <v>-0.26778032608286328</v>
      </c>
      <c r="AE50" s="3">
        <v>-0.24458644560750273</v>
      </c>
      <c r="AF50" s="3">
        <v>9.6853120607781867E-2</v>
      </c>
      <c r="AG50" s="3">
        <v>-6.1657500887445982E-2</v>
      </c>
      <c r="AH50" s="3">
        <v>-0.28204093187225027</v>
      </c>
      <c r="AI50" s="3">
        <v>0.74809964348296443</v>
      </c>
      <c r="AJ50" s="3">
        <v>0.16807366537532709</v>
      </c>
      <c r="AZ50" s="3" t="s">
        <v>56</v>
      </c>
      <c r="BA50" s="3">
        <v>45</v>
      </c>
      <c r="BB50" s="3">
        <v>1.0693538266399136</v>
      </c>
      <c r="BC50" s="3">
        <v>1.0574012001457125</v>
      </c>
      <c r="BD50" s="3">
        <v>0.92261498899752004</v>
      </c>
      <c r="BE50" s="3">
        <v>0.45165563386219865</v>
      </c>
      <c r="BG50" s="3">
        <v>2.6533697328867817E-3</v>
      </c>
      <c r="BH50" s="3">
        <v>3.1575382796992513E-3</v>
      </c>
      <c r="BI50" s="3">
        <v>5.01749728921351E-3</v>
      </c>
      <c r="BJ50" s="3">
        <v>8.0429549538355571E-3</v>
      </c>
    </row>
    <row r="51" spans="1:62" x14ac:dyDescent="0.2">
      <c r="A51" s="3" t="s">
        <v>59</v>
      </c>
      <c r="B51" s="3">
        <v>81</v>
      </c>
      <c r="C51" s="3">
        <v>94.2</v>
      </c>
      <c r="D51" s="3">
        <v>16.145</v>
      </c>
      <c r="E51" s="3">
        <v>67.2</v>
      </c>
      <c r="F51" s="3">
        <v>53.35</v>
      </c>
      <c r="G51" s="3">
        <v>185.5</v>
      </c>
      <c r="H51" s="3">
        <v>41.226999999999997</v>
      </c>
      <c r="I51" s="3">
        <v>133.9</v>
      </c>
      <c r="J51" s="3">
        <v>12.6</v>
      </c>
      <c r="K51" s="3">
        <v>92.65</v>
      </c>
      <c r="L51" s="3">
        <v>28432.050781000002</v>
      </c>
      <c r="N51" s="5">
        <v>-1.6179568876269812E-2</v>
      </c>
      <c r="O51" s="5">
        <v>-2.1253993123133696E-3</v>
      </c>
      <c r="P51" s="5">
        <v>-1.1274217023750754E-2</v>
      </c>
      <c r="Q51" s="5">
        <v>-1.272948675088692E-2</v>
      </c>
      <c r="R51" s="5">
        <v>-5.6391126877701758E-3</v>
      </c>
      <c r="S51" s="5">
        <v>-1.5209418663528318E-2</v>
      </c>
      <c r="T51" s="5">
        <v>-1.4439008290646704E-2</v>
      </c>
      <c r="U51" s="5">
        <v>-1.1265609194219373E-2</v>
      </c>
      <c r="V51" s="5">
        <v>-6.3694482854796952E-3</v>
      </c>
      <c r="W51" s="5">
        <v>-1.6871148465456898E-2</v>
      </c>
      <c r="X51" s="5">
        <v>-1.8860267151879384E-2</v>
      </c>
      <c r="Z51" s="6" t="s">
        <v>277</v>
      </c>
      <c r="AA51" s="3">
        <v>0.34806790525818582</v>
      </c>
      <c r="AB51" s="3">
        <v>-0.22227313792553774</v>
      </c>
      <c r="AC51" s="3">
        <v>-0.24756342236273765</v>
      </c>
      <c r="AD51" s="3">
        <v>-0.26067012979622434</v>
      </c>
      <c r="AE51" s="3">
        <v>-9.9417028445405536E-2</v>
      </c>
      <c r="AF51" s="3">
        <v>-0.41617713104599963</v>
      </c>
      <c r="AG51" s="3">
        <v>4.8921141413223547E-2</v>
      </c>
      <c r="AH51" s="3">
        <v>-0.3638810608876159</v>
      </c>
      <c r="AI51" s="3">
        <v>-0.54486614743289663</v>
      </c>
      <c r="AJ51" s="3">
        <v>0.29229753284478988</v>
      </c>
      <c r="AZ51" s="3" t="s">
        <v>57</v>
      </c>
      <c r="BA51" s="3">
        <v>46</v>
      </c>
      <c r="BB51" s="3">
        <v>1.0721949853726598</v>
      </c>
      <c r="BC51" s="3">
        <v>1.0607452616348827</v>
      </c>
      <c r="BD51" s="3">
        <v>0.92725584019673579</v>
      </c>
      <c r="BE51" s="3">
        <v>0.45530292762806401</v>
      </c>
      <c r="BG51" s="3">
        <v>9.415169706613491E-3</v>
      </c>
      <c r="BH51" s="3">
        <v>8.9814744553502746E-3</v>
      </c>
      <c r="BI51" s="3">
        <v>6.2103796768500363E-3</v>
      </c>
      <c r="BJ51" s="3">
        <v>6.4352961034175316E-4</v>
      </c>
    </row>
    <row r="52" spans="1:62" x14ac:dyDescent="0.2">
      <c r="A52" s="3" t="s">
        <v>60</v>
      </c>
      <c r="B52" s="3">
        <v>79.7</v>
      </c>
      <c r="C52" s="3">
        <v>94</v>
      </c>
      <c r="D52" s="3">
        <v>15.964</v>
      </c>
      <c r="E52" s="3">
        <v>66.349999999999994</v>
      </c>
      <c r="F52" s="3">
        <v>53.05</v>
      </c>
      <c r="G52" s="3">
        <v>182.7</v>
      </c>
      <c r="H52" s="3">
        <v>40.636000000000003</v>
      </c>
      <c r="I52" s="3">
        <v>132.4</v>
      </c>
      <c r="J52" s="3">
        <v>12.52</v>
      </c>
      <c r="K52" s="3">
        <v>91.1</v>
      </c>
      <c r="L52" s="3">
        <v>27900.839843999998</v>
      </c>
      <c r="N52" s="5">
        <v>1.8029708164431391E-2</v>
      </c>
      <c r="O52" s="5">
        <v>5.317734770358129E-4</v>
      </c>
      <c r="P52" s="5">
        <v>4.5000075937728923E-3</v>
      </c>
      <c r="Q52" s="5">
        <v>2.0142419140012358E-2</v>
      </c>
      <c r="R52" s="5">
        <v>2.8235312876065954E-3</v>
      </c>
      <c r="S52" s="5">
        <v>1.5748356968138921E-2</v>
      </c>
      <c r="T52" s="5">
        <v>4.4687873616799934E-3</v>
      </c>
      <c r="U52" s="5">
        <v>8.2738343373964796E-3</v>
      </c>
      <c r="V52" s="5">
        <v>7.9554914411148481E-3</v>
      </c>
      <c r="W52" s="5">
        <v>-7.7135368677812011E-3</v>
      </c>
      <c r="X52" s="5">
        <v>1.5864758674963397E-2</v>
      </c>
      <c r="Z52" s="6" t="s">
        <v>278</v>
      </c>
      <c r="AA52" s="3">
        <v>0.28939656450712098</v>
      </c>
      <c r="AB52" s="3">
        <v>-0.31389639881826931</v>
      </c>
      <c r="AC52" s="3">
        <v>-0.13528129188782986</v>
      </c>
      <c r="AD52" s="3">
        <v>-0.23325561081346197</v>
      </c>
      <c r="AE52" s="3">
        <v>9.8809907860084645E-2</v>
      </c>
      <c r="AF52" s="3">
        <v>0.10597637917109128</v>
      </c>
      <c r="AG52" s="3">
        <v>9.2352636445003078E-2</v>
      </c>
      <c r="AH52" s="3">
        <v>5.2375467811178487E-2</v>
      </c>
      <c r="AI52" s="3">
        <v>-9.0000530631378486E-2</v>
      </c>
      <c r="AJ52" s="3">
        <v>-0.83943003634332169</v>
      </c>
      <c r="AZ52" s="3" t="s">
        <v>58</v>
      </c>
      <c r="BA52" s="3">
        <v>47</v>
      </c>
      <c r="BB52" s="3">
        <v>1.082337555202374</v>
      </c>
      <c r="BC52" s="3">
        <v>1.0703152299874987</v>
      </c>
      <c r="BD52" s="3">
        <v>0.93303236967642933</v>
      </c>
      <c r="BE52" s="3">
        <v>0.45559602284127715</v>
      </c>
      <c r="BG52" s="3">
        <v>1.8966202079412769E-3</v>
      </c>
      <c r="BH52" s="3">
        <v>1.9689437513358554E-3</v>
      </c>
      <c r="BI52" s="3">
        <v>1.5139072121457681E-3</v>
      </c>
      <c r="BJ52" s="3">
        <v>1.2353843505196194E-3</v>
      </c>
    </row>
    <row r="53" spans="1:62" x14ac:dyDescent="0.2">
      <c r="A53" s="3" t="s">
        <v>61</v>
      </c>
      <c r="B53" s="3">
        <v>81.150000000000006</v>
      </c>
      <c r="C53" s="3">
        <v>94.05</v>
      </c>
      <c r="D53" s="3">
        <v>16.036000000000001</v>
      </c>
      <c r="E53" s="3">
        <v>67.7</v>
      </c>
      <c r="F53" s="3">
        <v>53.2</v>
      </c>
      <c r="G53" s="3">
        <v>185.6</v>
      </c>
      <c r="H53" s="3">
        <v>40.817999999999998</v>
      </c>
      <c r="I53" s="3">
        <v>133.5</v>
      </c>
      <c r="J53" s="3">
        <v>12.62</v>
      </c>
      <c r="K53" s="3">
        <v>90.4</v>
      </c>
      <c r="L53" s="3">
        <v>28347.009765999999</v>
      </c>
      <c r="N53" s="5">
        <v>3.0759790478942506E-3</v>
      </c>
      <c r="O53" s="5">
        <v>6.8874444449926742E-3</v>
      </c>
      <c r="P53" s="5">
        <v>-3.3731058279893311E-3</v>
      </c>
      <c r="Q53" s="5">
        <v>-2.3161289357264359E-2</v>
      </c>
      <c r="R53" s="5">
        <v>0</v>
      </c>
      <c r="S53" s="5">
        <v>3.2275444908664852E-3</v>
      </c>
      <c r="T53" s="5">
        <v>-2.231897425356788E-3</v>
      </c>
      <c r="U53" s="5">
        <v>-3.7523496185505323E-3</v>
      </c>
      <c r="V53" s="5">
        <v>1.8838861696405917E-2</v>
      </c>
      <c r="W53" s="5">
        <v>4.9655274440487673E-3</v>
      </c>
      <c r="X53" s="5">
        <v>-4.2025200697128895E-3</v>
      </c>
      <c r="AZ53" s="3" t="s">
        <v>59</v>
      </c>
      <c r="BA53" s="3">
        <v>48</v>
      </c>
      <c r="BB53" s="3">
        <v>1.0843922863877942</v>
      </c>
      <c r="BC53" s="3">
        <v>1.0724246965005093</v>
      </c>
      <c r="BD53" s="3">
        <v>0.93444596386528023</v>
      </c>
      <c r="BE53" s="3">
        <v>0.45615920684077754</v>
      </c>
      <c r="BG53" s="3">
        <v>-1.1113531021726047E-2</v>
      </c>
      <c r="BH53" s="3">
        <v>-1.0766176952279771E-2</v>
      </c>
      <c r="BI53" s="3">
        <v>-6.5674059541052654E-3</v>
      </c>
      <c r="BJ53" s="3">
        <v>-1.3116766511300781E-4</v>
      </c>
    </row>
    <row r="54" spans="1:62" x14ac:dyDescent="0.2">
      <c r="A54" s="3" t="s">
        <v>62</v>
      </c>
      <c r="B54" s="3">
        <v>81.400000000000006</v>
      </c>
      <c r="C54" s="3">
        <v>94.7</v>
      </c>
      <c r="D54" s="3">
        <v>15.981999999999999</v>
      </c>
      <c r="E54" s="3">
        <v>66.150000000000006</v>
      </c>
      <c r="F54" s="3">
        <v>53.2</v>
      </c>
      <c r="G54" s="3">
        <v>186.2</v>
      </c>
      <c r="H54" s="3">
        <v>40.726999999999997</v>
      </c>
      <c r="I54" s="3">
        <v>133</v>
      </c>
      <c r="J54" s="3">
        <v>12.86</v>
      </c>
      <c r="K54" s="3">
        <v>90.85</v>
      </c>
      <c r="L54" s="3">
        <v>28228.130859000001</v>
      </c>
      <c r="N54" s="5">
        <v>9.7800290536396162E-3</v>
      </c>
      <c r="O54" s="5">
        <v>9.9816956942300195E-3</v>
      </c>
      <c r="P54" s="5">
        <v>1.5767910024380161E-2</v>
      </c>
      <c r="Q54" s="5">
        <v>-1.5128595926308108E-3</v>
      </c>
      <c r="R54" s="5">
        <v>0</v>
      </c>
      <c r="S54" s="5">
        <v>1.1745997299295929E-2</v>
      </c>
      <c r="T54" s="5">
        <v>1.1288344756983371E-3</v>
      </c>
      <c r="U54" s="5">
        <v>1.0471299867295336E-2</v>
      </c>
      <c r="V54" s="5">
        <v>9.2879924664708291E-3</v>
      </c>
      <c r="W54" s="5">
        <v>1.6375911803068632E-2</v>
      </c>
      <c r="X54" s="5">
        <v>1.0077946729820653E-2</v>
      </c>
      <c r="Z54" s="4" t="s">
        <v>266</v>
      </c>
      <c r="AZ54" s="3" t="s">
        <v>60</v>
      </c>
      <c r="BA54" s="3">
        <v>49</v>
      </c>
      <c r="BB54" s="3">
        <v>1.0724075786369125</v>
      </c>
      <c r="BC54" s="3">
        <v>1.0609407126770116</v>
      </c>
      <c r="BD54" s="3">
        <v>0.92832918554669985</v>
      </c>
      <c r="BE54" s="3">
        <v>0.45609937742662454</v>
      </c>
      <c r="BG54" s="3">
        <v>7.3072987402654915E-3</v>
      </c>
      <c r="BH54" s="3">
        <v>7.4389681614717013E-3</v>
      </c>
      <c r="BI54" s="3">
        <v>3.4093300830561196E-3</v>
      </c>
      <c r="BJ54" s="3">
        <v>-2.0825663056257548E-3</v>
      </c>
    </row>
    <row r="55" spans="1:62" x14ac:dyDescent="0.2">
      <c r="A55" s="3" t="s">
        <v>63</v>
      </c>
      <c r="B55" s="3">
        <v>82.2</v>
      </c>
      <c r="C55" s="3">
        <v>95.65</v>
      </c>
      <c r="D55" s="3">
        <v>16.236000000000001</v>
      </c>
      <c r="E55" s="3">
        <v>66.05</v>
      </c>
      <c r="F55" s="3">
        <v>53.2</v>
      </c>
      <c r="G55" s="3">
        <v>188.4</v>
      </c>
      <c r="H55" s="3">
        <v>40.773000000000003</v>
      </c>
      <c r="I55" s="3">
        <v>134.4</v>
      </c>
      <c r="J55" s="3">
        <v>12.98</v>
      </c>
      <c r="K55" s="3">
        <v>92.35</v>
      </c>
      <c r="L55" s="3">
        <v>28514.050781000002</v>
      </c>
      <c r="N55" s="5">
        <v>-4.8780584534329208E-3</v>
      </c>
      <c r="O55" s="5">
        <v>7.291698974112748E-3</v>
      </c>
      <c r="P55" s="5">
        <v>3.3818091073811729E-3</v>
      </c>
      <c r="Q55" s="5">
        <v>-1.7564407258289449E-2</v>
      </c>
      <c r="R55" s="5">
        <v>0</v>
      </c>
      <c r="S55" s="5">
        <v>7.4035240335650343E-3</v>
      </c>
      <c r="T55" s="5">
        <v>1.103062949658451E-3</v>
      </c>
      <c r="U55" s="5">
        <v>2.2296553272695974E-3</v>
      </c>
      <c r="V55" s="5">
        <v>1.9832839232918342E-2</v>
      </c>
      <c r="W55" s="5">
        <v>1.6112056387269647E-2</v>
      </c>
      <c r="X55" s="5">
        <v>4.0553464651331694E-3</v>
      </c>
      <c r="Z55" s="6" t="s">
        <v>258</v>
      </c>
      <c r="AA55" s="6">
        <v>1</v>
      </c>
      <c r="AB55" s="6">
        <v>2</v>
      </c>
      <c r="AC55" s="6">
        <v>3</v>
      </c>
      <c r="AD55" s="6">
        <v>4</v>
      </c>
      <c r="AE55" s="6">
        <v>5</v>
      </c>
      <c r="AF55" s="6">
        <v>6</v>
      </c>
      <c r="AG55" s="6">
        <v>7</v>
      </c>
      <c r="AH55" s="6">
        <v>8</v>
      </c>
      <c r="AI55" s="6">
        <v>9</v>
      </c>
      <c r="AJ55" s="6">
        <v>10</v>
      </c>
      <c r="AZ55" s="3" t="s">
        <v>61</v>
      </c>
      <c r="BA55" s="3">
        <v>50</v>
      </c>
      <c r="BB55" s="3">
        <v>1.0802726825197222</v>
      </c>
      <c r="BC55" s="3">
        <v>1.0688624450862143</v>
      </c>
      <c r="BD55" s="3">
        <v>0.9314995675343869</v>
      </c>
      <c r="BE55" s="3">
        <v>0.45515050861522999</v>
      </c>
      <c r="BG55" s="3">
        <v>7.424121776252457E-4</v>
      </c>
      <c r="BH55" s="3">
        <v>-3.9637985453577773E-4</v>
      </c>
      <c r="BI55" s="3">
        <v>3.3905092282087712E-3</v>
      </c>
      <c r="BJ55" s="3">
        <v>6.8225407370333668E-3</v>
      </c>
    </row>
    <row r="56" spans="1:62" x14ac:dyDescent="0.2">
      <c r="A56" s="3" t="s">
        <v>64</v>
      </c>
      <c r="B56" s="3">
        <v>81.8</v>
      </c>
      <c r="C56" s="3">
        <v>96.35</v>
      </c>
      <c r="D56" s="3">
        <v>16.291</v>
      </c>
      <c r="E56" s="3">
        <v>64.900000000000006</v>
      </c>
      <c r="F56" s="3">
        <v>53.2</v>
      </c>
      <c r="G56" s="3">
        <v>189.8</v>
      </c>
      <c r="H56" s="3">
        <v>40.817999999999998</v>
      </c>
      <c r="I56" s="3">
        <v>134.69999999999999</v>
      </c>
      <c r="J56" s="3">
        <v>13.24</v>
      </c>
      <c r="K56" s="3">
        <v>93.85</v>
      </c>
      <c r="L56" s="3">
        <v>28629.919922000001</v>
      </c>
      <c r="N56" s="5">
        <v>1.0942358420943599E-2</v>
      </c>
      <c r="O56" s="5">
        <v>5.1759949926299953E-3</v>
      </c>
      <c r="P56" s="5">
        <v>3.3092320921412899E-3</v>
      </c>
      <c r="Q56" s="5">
        <v>-7.7339905997364511E-3</v>
      </c>
      <c r="R56" s="5">
        <v>1.3072081567352622E-2</v>
      </c>
      <c r="S56" s="5">
        <v>7.3491144414727927E-3</v>
      </c>
      <c r="T56" s="5">
        <v>1.1085372559681783E-2</v>
      </c>
      <c r="U56" s="5">
        <v>-8.1998223137729198E-3</v>
      </c>
      <c r="V56" s="5">
        <v>6.0241146033805926E-3</v>
      </c>
      <c r="W56" s="5">
        <v>6.9020714671790273E-3</v>
      </c>
      <c r="X56" s="5">
        <v>6.4889042550113629E-3</v>
      </c>
      <c r="Z56" s="6" t="s">
        <v>22</v>
      </c>
      <c r="AA56" s="6">
        <v>5.6509079706213985</v>
      </c>
      <c r="AB56" s="6">
        <v>0.88528836713731818</v>
      </c>
      <c r="AC56" s="6">
        <v>0.70518911404800388</v>
      </c>
      <c r="AD56" s="6">
        <v>0.63737071871490925</v>
      </c>
      <c r="AE56" s="6">
        <v>0.53714513275230236</v>
      </c>
      <c r="AF56" s="6">
        <v>0.47954106986702005</v>
      </c>
      <c r="AG56" s="6">
        <v>0.41156018710868636</v>
      </c>
      <c r="AH56" s="6">
        <v>0.28513398413949509</v>
      </c>
      <c r="AI56" s="6">
        <v>0.22168792986420222</v>
      </c>
      <c r="AJ56" s="6">
        <v>0.18617552574666041</v>
      </c>
      <c r="AZ56" s="3" t="s">
        <v>62</v>
      </c>
      <c r="BA56" s="3">
        <v>51</v>
      </c>
      <c r="BB56" s="3">
        <v>1.0810749878981714</v>
      </c>
      <c r="BC56" s="3">
        <v>1.0684388535028435</v>
      </c>
      <c r="BD56" s="3">
        <v>0.93466318552154715</v>
      </c>
      <c r="BE56" s="3">
        <v>0.45826640859268009</v>
      </c>
      <c r="BG56" s="3">
        <v>8.4511545665784393E-3</v>
      </c>
      <c r="BH56" s="3">
        <v>7.9389393398964225E-3</v>
      </c>
      <c r="BI56" s="3">
        <v>7.8216673932964484E-3</v>
      </c>
      <c r="BJ56" s="3">
        <v>6.3363346305848056E-3</v>
      </c>
    </row>
    <row r="57" spans="1:62" x14ac:dyDescent="0.2">
      <c r="A57" s="3" t="s">
        <v>65</v>
      </c>
      <c r="B57" s="3">
        <v>82.7</v>
      </c>
      <c r="C57" s="3">
        <v>96.85</v>
      </c>
      <c r="D57" s="3">
        <v>16.344999999999999</v>
      </c>
      <c r="E57" s="3">
        <v>64.400000000000006</v>
      </c>
      <c r="F57" s="3">
        <v>53.9</v>
      </c>
      <c r="G57" s="3">
        <v>191.2</v>
      </c>
      <c r="H57" s="3">
        <v>41.273000000000003</v>
      </c>
      <c r="I57" s="3">
        <v>133.6</v>
      </c>
      <c r="J57" s="3">
        <v>13.32</v>
      </c>
      <c r="K57" s="3">
        <v>94.5</v>
      </c>
      <c r="L57" s="3">
        <v>28816.300781000002</v>
      </c>
      <c r="N57" s="5">
        <v>-5.4562123841641608E-3</v>
      </c>
      <c r="O57" s="5">
        <v>-3.1998533840826404E-2</v>
      </c>
      <c r="P57" s="5">
        <v>-1.0022526790526065E-2</v>
      </c>
      <c r="Q57" s="5">
        <v>-3.1104224143927439E-3</v>
      </c>
      <c r="R57" s="5">
        <v>-4.6490088382435957E-3</v>
      </c>
      <c r="S57" s="5">
        <v>5.228758289064217E-4</v>
      </c>
      <c r="T57" s="5">
        <v>-9.9590533005318171E-3</v>
      </c>
      <c r="U57" s="5">
        <v>2.2429915945814116E-3</v>
      </c>
      <c r="V57" s="5">
        <v>-1.512888159629977E-2</v>
      </c>
      <c r="W57" s="5">
        <v>-2.1186448602854568E-3</v>
      </c>
      <c r="X57" s="5">
        <v>4.950196558585418E-3</v>
      </c>
      <c r="Z57" s="6" t="s">
        <v>269</v>
      </c>
      <c r="AA57" s="3">
        <v>0.30943176576903642</v>
      </c>
      <c r="AB57" s="3">
        <v>-0.29379584576020928</v>
      </c>
      <c r="AC57" s="3">
        <v>5.4543042181097449E-2</v>
      </c>
      <c r="AD57" s="3">
        <v>0.33993195911457524</v>
      </c>
      <c r="AE57" s="3">
        <v>0.13749488805056886</v>
      </c>
      <c r="AF57" s="3">
        <v>-0.53877469739291473</v>
      </c>
      <c r="AG57" s="3">
        <v>0.60653066620466145</v>
      </c>
      <c r="AH57" s="3">
        <v>0.12933161408732061</v>
      </c>
      <c r="AI57" s="3">
        <v>-7.4849251342142237E-2</v>
      </c>
      <c r="AJ57" s="3">
        <v>-3.9696854801139709E-3</v>
      </c>
      <c r="AK57" s="4" t="s">
        <v>289</v>
      </c>
      <c r="AZ57" s="3" t="s">
        <v>63</v>
      </c>
      <c r="BA57" s="3">
        <v>52</v>
      </c>
      <c r="BB57" s="3">
        <v>1.0902500349811914</v>
      </c>
      <c r="BC57" s="3">
        <v>1.076954884146436</v>
      </c>
      <c r="BD57" s="3">
        <v>0.94200247540847593</v>
      </c>
      <c r="BE57" s="3">
        <v>0.46117935686897638</v>
      </c>
      <c r="BG57" s="3">
        <v>3.9911046823057489E-3</v>
      </c>
      <c r="BH57" s="3">
        <v>2.6482048516134338E-3</v>
      </c>
      <c r="BI57" s="3">
        <v>4.0864467566276985E-3</v>
      </c>
      <c r="BJ57" s="3">
        <v>3.4032822472455093E-3</v>
      </c>
    </row>
    <row r="58" spans="1:62" x14ac:dyDescent="0.2">
      <c r="A58" s="3" t="s">
        <v>66</v>
      </c>
      <c r="B58" s="3">
        <v>82.25</v>
      </c>
      <c r="C58" s="3">
        <v>93.8</v>
      </c>
      <c r="D58" s="3">
        <v>16.181999999999999</v>
      </c>
      <c r="E58" s="3">
        <v>64.2</v>
      </c>
      <c r="F58" s="3">
        <v>53.65</v>
      </c>
      <c r="G58" s="3">
        <v>191.3</v>
      </c>
      <c r="H58" s="3">
        <v>40.863999999999997</v>
      </c>
      <c r="I58" s="3">
        <v>133.9</v>
      </c>
      <c r="J58" s="3">
        <v>13.12</v>
      </c>
      <c r="K58" s="3">
        <v>94.3</v>
      </c>
      <c r="L58" s="3">
        <v>28959.300781000002</v>
      </c>
      <c r="N58" s="5">
        <v>1.3285219551321781E-2</v>
      </c>
      <c r="O58" s="5">
        <v>-1.5579149366930167E-2</v>
      </c>
      <c r="P58" s="5">
        <v>1.1117288526905078E-3</v>
      </c>
      <c r="Q58" s="5">
        <v>-3.901682671063611E-3</v>
      </c>
      <c r="R58" s="5">
        <v>1.1121523343861295E-2</v>
      </c>
      <c r="S58" s="5">
        <v>5.7336617853991356E-3</v>
      </c>
      <c r="T58" s="5">
        <v>-1.231118124784647E-2</v>
      </c>
      <c r="U58" s="5">
        <v>-1.5807630628720482E-2</v>
      </c>
      <c r="V58" s="5">
        <v>-1.6910472148316646E-2</v>
      </c>
      <c r="W58" s="5">
        <v>-3.7184637799372311E-3</v>
      </c>
      <c r="X58" s="5">
        <v>-6.4866265483498609E-3</v>
      </c>
      <c r="Z58" s="6" t="s">
        <v>270</v>
      </c>
      <c r="AA58" s="3">
        <v>0.27238884516301004</v>
      </c>
      <c r="AB58" s="3">
        <v>0.62604279763990445</v>
      </c>
      <c r="AC58" s="3">
        <v>-8.5877739848753465E-2</v>
      </c>
      <c r="AD58" s="3">
        <v>-5.6741389591666754E-2</v>
      </c>
      <c r="AE58" s="3">
        <v>-0.16922620584467354</v>
      </c>
      <c r="AF58" s="3">
        <v>-0.56470231067954679</v>
      </c>
      <c r="AG58" s="3">
        <v>-0.31045806500273671</v>
      </c>
      <c r="AH58" s="3">
        <v>0.18948519399784045</v>
      </c>
      <c r="AI58" s="3">
        <v>-7.5623248844533808E-2</v>
      </c>
      <c r="AJ58" s="3">
        <v>-0.19428388505687183</v>
      </c>
      <c r="AK58" s="4" t="s">
        <v>290</v>
      </c>
      <c r="AZ58" s="3" t="s">
        <v>64</v>
      </c>
      <c r="BA58" s="3">
        <v>53</v>
      </c>
      <c r="BB58" s="3">
        <v>1.0946100318150775</v>
      </c>
      <c r="BC58" s="3">
        <v>1.0798106609676572</v>
      </c>
      <c r="BD58" s="3">
        <v>0.94585979436531997</v>
      </c>
      <c r="BE58" s="3">
        <v>0.46275155418513692</v>
      </c>
      <c r="BG58" s="3">
        <v>4.716890113235242E-3</v>
      </c>
      <c r="BH58" s="3">
        <v>4.9310486966817751E-3</v>
      </c>
      <c r="BI58" s="3">
        <v>8.9798093855112116E-3</v>
      </c>
      <c r="BJ58" s="3">
        <v>1.5686955166060113E-2</v>
      </c>
    </row>
    <row r="59" spans="1:62" x14ac:dyDescent="0.2">
      <c r="A59" s="3" t="s">
        <v>67</v>
      </c>
      <c r="B59" s="3">
        <v>83.35</v>
      </c>
      <c r="C59" s="3">
        <v>92.35</v>
      </c>
      <c r="D59" s="3">
        <v>16.2</v>
      </c>
      <c r="E59" s="3">
        <v>63.95</v>
      </c>
      <c r="F59" s="3">
        <v>54.25</v>
      </c>
      <c r="G59" s="3">
        <v>192.4</v>
      </c>
      <c r="H59" s="3">
        <v>40.363999999999997</v>
      </c>
      <c r="I59" s="3">
        <v>131.80000000000001</v>
      </c>
      <c r="J59" s="3">
        <v>12.9</v>
      </c>
      <c r="K59" s="3">
        <v>93.95</v>
      </c>
      <c r="L59" s="3">
        <v>28772.060547000001</v>
      </c>
      <c r="N59" s="5">
        <v>1.606699246120602E-2</v>
      </c>
      <c r="O59" s="5">
        <v>1.451248259912763E-2</v>
      </c>
      <c r="P59" s="5">
        <v>1.0072557828813888E-2</v>
      </c>
      <c r="Q59" s="5">
        <v>2.342835901772311E-3</v>
      </c>
      <c r="R59" s="5">
        <v>3.6798569584006735E-3</v>
      </c>
      <c r="S59" s="5">
        <v>1.2396852976828576E-2</v>
      </c>
      <c r="T59" s="5">
        <v>4.4741697942383141E-3</v>
      </c>
      <c r="U59" s="5">
        <v>8.3113436507931127E-3</v>
      </c>
      <c r="V59" s="5">
        <v>-1.8779894651596241E-2</v>
      </c>
      <c r="W59" s="5">
        <v>5.3205641052933572E-4</v>
      </c>
      <c r="X59" s="5">
        <v>-5.0829902275495442E-4</v>
      </c>
      <c r="Z59" s="6" t="s">
        <v>271</v>
      </c>
      <c r="AA59" s="3">
        <v>0.28730271833153681</v>
      </c>
      <c r="AB59" s="3">
        <v>0.55828605318847813</v>
      </c>
      <c r="AC59" s="3">
        <v>-6.6216471030159776E-2</v>
      </c>
      <c r="AD59" s="3">
        <v>-7.2293500297846536E-2</v>
      </c>
      <c r="AE59" s="3">
        <v>2.5540639177058375E-2</v>
      </c>
      <c r="AF59" s="3">
        <v>0.48289979898987312</v>
      </c>
      <c r="AG59" s="3">
        <v>0.55604804236940997</v>
      </c>
      <c r="AH59" s="3">
        <v>5.5802215146120979E-2</v>
      </c>
      <c r="AI59" s="3">
        <v>-0.21093507294847594</v>
      </c>
      <c r="AJ59" s="3">
        <v>7.4306136231538394E-2</v>
      </c>
      <c r="AK59" s="4" t="s">
        <v>291</v>
      </c>
      <c r="AZ59" s="3" t="s">
        <v>65</v>
      </c>
      <c r="BA59" s="3">
        <v>54</v>
      </c>
      <c r="BB59" s="3">
        <v>1.099785383238423</v>
      </c>
      <c r="BC59" s="3">
        <v>1.0851484094532255</v>
      </c>
      <c r="BD59" s="3">
        <v>0.9543916850681653</v>
      </c>
      <c r="BE59" s="3">
        <v>0.47006795304442495</v>
      </c>
      <c r="BG59" s="3">
        <v>-8.1440955873091359E-3</v>
      </c>
      <c r="BH59" s="3">
        <v>-8.4369213618352701E-3</v>
      </c>
      <c r="BI59" s="3">
        <v>-1.3945520919283291E-2</v>
      </c>
      <c r="BJ59" s="3">
        <v>-2.1459575562395417E-2</v>
      </c>
    </row>
    <row r="60" spans="1:62" x14ac:dyDescent="0.2">
      <c r="A60" s="3" t="s">
        <v>68</v>
      </c>
      <c r="B60" s="3">
        <v>84.7</v>
      </c>
      <c r="C60" s="3">
        <v>93.7</v>
      </c>
      <c r="D60" s="3">
        <v>16.364000000000001</v>
      </c>
      <c r="E60" s="3">
        <v>64.099999999999994</v>
      </c>
      <c r="F60" s="3">
        <v>54.45</v>
      </c>
      <c r="G60" s="3">
        <v>194.8</v>
      </c>
      <c r="H60" s="3">
        <v>40.545000000000002</v>
      </c>
      <c r="I60" s="3">
        <v>132.9</v>
      </c>
      <c r="J60" s="3">
        <v>12.66</v>
      </c>
      <c r="K60" s="3">
        <v>94</v>
      </c>
      <c r="L60" s="3">
        <v>28757.439452999999</v>
      </c>
      <c r="N60" s="5">
        <v>-1.3670346616605933E-2</v>
      </c>
      <c r="O60" s="5">
        <v>-7.4986960911198608E-3</v>
      </c>
      <c r="P60" s="5">
        <v>9.9116070915372667E-3</v>
      </c>
      <c r="Q60" s="5">
        <v>7.7972713502116875E-4</v>
      </c>
      <c r="R60" s="5">
        <v>9.1785229022889325E-4</v>
      </c>
      <c r="S60" s="5">
        <v>-1.5412281499331826E-3</v>
      </c>
      <c r="T60" s="5">
        <v>-4.4741697942383141E-3</v>
      </c>
      <c r="U60" s="5">
        <v>-2.2062515263617577E-2</v>
      </c>
      <c r="V60" s="5">
        <v>-9.5238815112557162E-3</v>
      </c>
      <c r="W60" s="5">
        <v>-6.9389122822718363E-3</v>
      </c>
      <c r="X60" s="5">
        <v>-4.3303230051616737E-3</v>
      </c>
      <c r="Z60" s="6" t="s">
        <v>272</v>
      </c>
      <c r="AA60" s="3">
        <v>0.2989256097225354</v>
      </c>
      <c r="AB60" s="3">
        <v>-0.11355579448402661</v>
      </c>
      <c r="AC60" s="3">
        <v>0.6842174685245529</v>
      </c>
      <c r="AD60" s="3">
        <v>0.21726870665996928</v>
      </c>
      <c r="AE60" s="3">
        <v>1.455813659392243E-2</v>
      </c>
      <c r="AF60" s="3">
        <v>0.25670275177241059</v>
      </c>
      <c r="AG60" s="3">
        <v>-0.27851205945066021</v>
      </c>
      <c r="AH60" s="3">
        <v>0.35214199960013121</v>
      </c>
      <c r="AI60" s="3">
        <v>-0.29367544603325912</v>
      </c>
      <c r="AJ60" s="3">
        <v>-0.16870939929355705</v>
      </c>
      <c r="AK60" s="4" t="s">
        <v>292</v>
      </c>
      <c r="AZ60" s="3" t="s">
        <v>66</v>
      </c>
      <c r="BA60" s="3">
        <v>55</v>
      </c>
      <c r="BB60" s="3">
        <v>1.0908649994853949</v>
      </c>
      <c r="BC60" s="3">
        <v>1.0760316105932699</v>
      </c>
      <c r="BD60" s="3">
        <v>0.94117456983930758</v>
      </c>
      <c r="BE60" s="3">
        <v>0.46008796047929496</v>
      </c>
      <c r="BG60" s="3">
        <v>-4.2174088492940298E-3</v>
      </c>
      <c r="BH60" s="3">
        <v>-2.6797423634204592E-3</v>
      </c>
      <c r="BI60" s="3">
        <v>6.9931929221965505E-4</v>
      </c>
      <c r="BJ60" s="3">
        <v>9.7450721315391897E-3</v>
      </c>
    </row>
    <row r="61" spans="1:62" x14ac:dyDescent="0.2">
      <c r="A61" s="3" t="s">
        <v>69</v>
      </c>
      <c r="B61" s="3">
        <v>83.55</v>
      </c>
      <c r="C61" s="3">
        <v>93</v>
      </c>
      <c r="D61" s="3">
        <v>16.527000000000001</v>
      </c>
      <c r="E61" s="3">
        <v>64.150000000000006</v>
      </c>
      <c r="F61" s="3">
        <v>54.5</v>
      </c>
      <c r="G61" s="3">
        <v>194.5</v>
      </c>
      <c r="H61" s="3">
        <v>40.363999999999997</v>
      </c>
      <c r="I61" s="3">
        <v>130</v>
      </c>
      <c r="J61" s="3">
        <v>12.54</v>
      </c>
      <c r="K61" s="3">
        <v>93.35</v>
      </c>
      <c r="L61" s="3">
        <v>28633.179688</v>
      </c>
      <c r="N61" s="5">
        <v>-5.9862318459291686E-4</v>
      </c>
      <c r="O61" s="5">
        <v>3.2206147000417573E-3</v>
      </c>
      <c r="P61" s="5">
        <v>-4.3660247633861005E-3</v>
      </c>
      <c r="Q61" s="5">
        <v>7.791196342701312E-4</v>
      </c>
      <c r="R61" s="5">
        <v>-4.5977092486295668E-3</v>
      </c>
      <c r="S61" s="5">
        <v>2.0544434550133772E-3</v>
      </c>
      <c r="T61" s="5">
        <v>1.1142338319909406E-3</v>
      </c>
      <c r="U61" s="5">
        <v>-5.3991646777706848E-3</v>
      </c>
      <c r="V61" s="5">
        <v>1.5936258352780008E-3</v>
      </c>
      <c r="W61" s="5">
        <v>1.0706639138398089E-3</v>
      </c>
      <c r="X61" s="5">
        <v>6.2316902745465086E-3</v>
      </c>
      <c r="Z61" s="6" t="s">
        <v>273</v>
      </c>
      <c r="AA61" s="3">
        <v>0.27627927046943457</v>
      </c>
      <c r="AB61" s="3">
        <v>7.6836830057155185E-3</v>
      </c>
      <c r="AC61" s="3">
        <v>-0.45075786111268101</v>
      </c>
      <c r="AD61" s="3">
        <v>0.75430659188936255</v>
      </c>
      <c r="AE61" s="3">
        <v>-5.6275966477730831E-2</v>
      </c>
      <c r="AF61" s="3">
        <v>0.23857582465559671</v>
      </c>
      <c r="AG61" s="3">
        <v>-0.26223730146752083</v>
      </c>
      <c r="AH61" s="3">
        <v>-8.2034103637420683E-2</v>
      </c>
      <c r="AI61" s="3">
        <v>0.1197538057675543</v>
      </c>
      <c r="AJ61" s="3">
        <v>3.9054613712645715E-2</v>
      </c>
      <c r="AK61" s="4" t="s">
        <v>293</v>
      </c>
      <c r="AZ61" s="3" t="s">
        <v>67</v>
      </c>
      <c r="BA61" s="3">
        <v>56</v>
      </c>
      <c r="BB61" s="3">
        <v>1.0862740635149102</v>
      </c>
      <c r="BC61" s="3">
        <v>1.0731519831550236</v>
      </c>
      <c r="BD61" s="3">
        <v>0.9418329815665214</v>
      </c>
      <c r="BE61" s="3">
        <v>0.46459346843508326</v>
      </c>
      <c r="BG61" s="3">
        <v>5.0939823505857657E-3</v>
      </c>
      <c r="BH61" s="3">
        <v>6.0967314123367283E-3</v>
      </c>
      <c r="BI61" s="3">
        <v>8.8078541824625697E-3</v>
      </c>
      <c r="BJ61" s="3">
        <v>1.3909466839293727E-2</v>
      </c>
    </row>
    <row r="62" spans="1:62" x14ac:dyDescent="0.2">
      <c r="A62" s="3" t="s">
        <v>70</v>
      </c>
      <c r="B62" s="3">
        <v>83.5</v>
      </c>
      <c r="C62" s="3">
        <v>93.3</v>
      </c>
      <c r="D62" s="3">
        <v>16.454999999999998</v>
      </c>
      <c r="E62" s="3">
        <v>64.2</v>
      </c>
      <c r="F62" s="3">
        <v>54.25</v>
      </c>
      <c r="G62" s="3">
        <v>194.9</v>
      </c>
      <c r="H62" s="3">
        <v>40.408999999999999</v>
      </c>
      <c r="I62" s="3">
        <v>129.30000000000001</v>
      </c>
      <c r="J62" s="3">
        <v>12.56</v>
      </c>
      <c r="K62" s="3">
        <v>93.45</v>
      </c>
      <c r="L62" s="3">
        <v>28812.169922000001</v>
      </c>
      <c r="N62" s="5">
        <v>2.392345638619453E-3</v>
      </c>
      <c r="O62" s="5">
        <v>-1.6090108057005281E-3</v>
      </c>
      <c r="P62" s="5">
        <v>-1.1553313741399229E-3</v>
      </c>
      <c r="Q62" s="5">
        <v>0</v>
      </c>
      <c r="R62" s="5">
        <v>-9.2208397496840178E-4</v>
      </c>
      <c r="S62" s="5">
        <v>-1.4991234485733251E-2</v>
      </c>
      <c r="T62" s="5">
        <v>4.493834723059642E-3</v>
      </c>
      <c r="U62" s="5">
        <v>6.1680997406483584E-3</v>
      </c>
      <c r="V62" s="5">
        <v>0</v>
      </c>
      <c r="W62" s="5">
        <v>5.3361919579026917E-3</v>
      </c>
      <c r="X62" s="5">
        <v>5.1035399500864997E-3</v>
      </c>
      <c r="Z62" s="6" t="s">
        <v>274</v>
      </c>
      <c r="AA62" s="3">
        <v>0.34187639488590671</v>
      </c>
      <c r="AB62" s="3">
        <v>0.12948964914049038</v>
      </c>
      <c r="AC62" s="3">
        <v>0.44989424922149368</v>
      </c>
      <c r="AD62" s="3">
        <v>1.4127832457715052E-2</v>
      </c>
      <c r="AE62" s="3">
        <v>-0.10535103347446029</v>
      </c>
      <c r="AF62" s="3">
        <v>-7.4528725695085632E-2</v>
      </c>
      <c r="AG62" s="3">
        <v>-9.7793809850536696E-3</v>
      </c>
      <c r="AH62" s="3">
        <v>-0.70094951941847949</v>
      </c>
      <c r="AI62" s="3">
        <v>0.33888720846877424</v>
      </c>
      <c r="AJ62" s="3">
        <v>0.2020513645479457</v>
      </c>
      <c r="AK62" s="4" t="s">
        <v>294</v>
      </c>
      <c r="AZ62" s="3" t="s">
        <v>68</v>
      </c>
      <c r="BA62" s="3">
        <v>57</v>
      </c>
      <c r="BB62" s="3">
        <v>1.0918216420599405</v>
      </c>
      <c r="BC62" s="3">
        <v>1.0797146877565451</v>
      </c>
      <c r="BD62" s="3">
        <v>0.95016514952638786</v>
      </c>
      <c r="BE62" s="3">
        <v>0.4711008681916089</v>
      </c>
      <c r="BG62" s="3">
        <v>-5.57182149833578E-3</v>
      </c>
      <c r="BH62" s="3">
        <v>-4.3193647832759779E-3</v>
      </c>
      <c r="BI62" s="3">
        <v>-1.1603488261182279E-3</v>
      </c>
      <c r="BJ62" s="3">
        <v>5.0687365965752518E-3</v>
      </c>
    </row>
    <row r="63" spans="1:62" x14ac:dyDescent="0.2">
      <c r="A63" s="3" t="s">
        <v>71</v>
      </c>
      <c r="B63" s="3">
        <v>83.7</v>
      </c>
      <c r="C63" s="3">
        <v>93.15</v>
      </c>
      <c r="D63" s="3">
        <v>16.436</v>
      </c>
      <c r="E63" s="3">
        <v>64.2</v>
      </c>
      <c r="F63" s="3">
        <v>54.2</v>
      </c>
      <c r="G63" s="3">
        <v>192</v>
      </c>
      <c r="H63" s="3">
        <v>40.591000000000001</v>
      </c>
      <c r="I63" s="3">
        <v>130.1</v>
      </c>
      <c r="J63" s="3">
        <v>12.56</v>
      </c>
      <c r="K63" s="3">
        <v>93.95</v>
      </c>
      <c r="L63" s="3">
        <v>28959.589843999998</v>
      </c>
      <c r="N63" s="5">
        <v>-2.0519730231176148E-2</v>
      </c>
      <c r="O63" s="5">
        <v>-1.2966145997267198E-2</v>
      </c>
      <c r="P63" s="5">
        <v>-3.2908799277531209E-3</v>
      </c>
      <c r="Q63" s="5">
        <v>2.3337233462203955E-3</v>
      </c>
      <c r="R63" s="5">
        <v>-9.2293499860085504E-4</v>
      </c>
      <c r="S63" s="5">
        <v>-9.4192219164916935E-3</v>
      </c>
      <c r="T63" s="5">
        <v>-3.3561218975299845E-3</v>
      </c>
      <c r="U63" s="5">
        <v>-6.9417941699585484E-3</v>
      </c>
      <c r="V63" s="5">
        <v>-1.1209084534719693E-2</v>
      </c>
      <c r="W63" s="5">
        <v>-1.4473584207340906E-2</v>
      </c>
      <c r="X63" s="5">
        <v>6.9396537597299357E-5</v>
      </c>
      <c r="Z63" s="6" t="s">
        <v>275</v>
      </c>
      <c r="AA63" s="3">
        <v>0.35845327544528666</v>
      </c>
      <c r="AB63" s="3">
        <v>-6.5273387846608161E-2</v>
      </c>
      <c r="AC63" s="3">
        <v>-6.1686027597552137E-2</v>
      </c>
      <c r="AD63" s="3">
        <v>-0.25603360522017066</v>
      </c>
      <c r="AE63" s="3">
        <v>0.3449611110725081</v>
      </c>
      <c r="AF63" s="3">
        <v>0.12061391758554919</v>
      </c>
      <c r="AG63" s="3">
        <v>-2.5381819501796511E-2</v>
      </c>
      <c r="AH63" s="3">
        <v>0.35829606822239102</v>
      </c>
      <c r="AI63" s="3">
        <v>0.71697602734891386</v>
      </c>
      <c r="AJ63" s="3">
        <v>-0.14584732713758675</v>
      </c>
      <c r="AK63" s="4" t="s">
        <v>295</v>
      </c>
      <c r="AZ63" s="3" t="s">
        <v>69</v>
      </c>
      <c r="BA63" s="3">
        <v>58</v>
      </c>
      <c r="BB63" s="3">
        <v>1.0857551232370415</v>
      </c>
      <c r="BC63" s="3">
        <v>1.075061063743288</v>
      </c>
      <c r="BD63" s="3">
        <v>0.94906326591882395</v>
      </c>
      <c r="BE63" s="3">
        <v>0.47349481642393881</v>
      </c>
      <c r="BG63" s="3">
        <v>-5.4321401229544264E-4</v>
      </c>
      <c r="BH63" s="3">
        <v>-7.2774095519970161E-4</v>
      </c>
      <c r="BI63" s="3">
        <v>-2.3017143330944997E-3</v>
      </c>
      <c r="BJ63" s="3">
        <v>-4.9245413064992194E-3</v>
      </c>
    </row>
    <row r="64" spans="1:62" x14ac:dyDescent="0.2">
      <c r="A64" s="3" t="s">
        <v>72</v>
      </c>
      <c r="B64" s="3">
        <v>82</v>
      </c>
      <c r="C64" s="3">
        <v>91.95</v>
      </c>
      <c r="D64" s="3">
        <v>16.382000000000001</v>
      </c>
      <c r="E64" s="3">
        <v>64.349999999999994</v>
      </c>
      <c r="F64" s="3">
        <v>54.15</v>
      </c>
      <c r="G64" s="3">
        <v>190.2</v>
      </c>
      <c r="H64" s="3">
        <v>40.454999999999998</v>
      </c>
      <c r="I64" s="3">
        <v>129.19999999999999</v>
      </c>
      <c r="J64" s="3">
        <v>12.42</v>
      </c>
      <c r="K64" s="3">
        <v>92.6</v>
      </c>
      <c r="L64" s="3">
        <v>28961.599609000001</v>
      </c>
      <c r="N64" s="5">
        <v>-1.8309434471097674E-3</v>
      </c>
      <c r="O64" s="5">
        <v>1.0869566287565746E-3</v>
      </c>
      <c r="P64" s="5">
        <v>-2.2611309172364535E-3</v>
      </c>
      <c r="Q64" s="5">
        <v>5.4242674647193567E-3</v>
      </c>
      <c r="R64" s="5">
        <v>-1.8484293617824221E-3</v>
      </c>
      <c r="S64" s="5">
        <v>4.1972779353400824E-3</v>
      </c>
      <c r="T64" s="5">
        <v>8.9329153311759057E-3</v>
      </c>
      <c r="U64" s="5">
        <v>7.7101384259670169E-3</v>
      </c>
      <c r="V64" s="5">
        <v>9.6154586994416924E-3</v>
      </c>
      <c r="W64" s="5">
        <v>5.9219553954639181E-3</v>
      </c>
      <c r="X64" s="5">
        <v>2.6207273384244445E-3</v>
      </c>
      <c r="Z64" s="6" t="s">
        <v>276</v>
      </c>
      <c r="AA64" s="3">
        <v>0.36270764216794532</v>
      </c>
      <c r="AB64" s="3">
        <v>-0.16778754565581402</v>
      </c>
      <c r="AC64" s="3">
        <v>-0.16772172850664654</v>
      </c>
      <c r="AD64" s="3">
        <v>-0.26778032608286328</v>
      </c>
      <c r="AE64" s="3">
        <v>0.16807366537532709</v>
      </c>
      <c r="AF64" s="3">
        <v>-6.1657500887445982E-2</v>
      </c>
      <c r="AG64" s="3">
        <v>-0.24458644560750273</v>
      </c>
      <c r="AH64" s="3">
        <v>9.6853120607781867E-2</v>
      </c>
      <c r="AI64" s="3">
        <v>-0.28204093187225027</v>
      </c>
      <c r="AJ64" s="3">
        <v>0.74809964348296443</v>
      </c>
      <c r="AK64" s="4" t="s">
        <v>296</v>
      </c>
      <c r="AZ64" s="3" t="s">
        <v>70</v>
      </c>
      <c r="BA64" s="3">
        <v>59</v>
      </c>
      <c r="BB64" s="3">
        <v>1.0851654860042803</v>
      </c>
      <c r="BC64" s="3">
        <v>1.0742789823886938</v>
      </c>
      <c r="BD64" s="3">
        <v>0.94688130548476301</v>
      </c>
      <c r="BE64" s="3">
        <v>0.47116880361581925</v>
      </c>
      <c r="BG64" s="3">
        <v>2.9098192442608695E-5</v>
      </c>
      <c r="BH64" s="3">
        <v>-3.017428426219243E-4</v>
      </c>
      <c r="BI64" s="3">
        <v>-9.24673176739714E-4</v>
      </c>
      <c r="BJ64" s="3">
        <v>-1.9455993531913851E-3</v>
      </c>
    </row>
    <row r="65" spans="1:62" x14ac:dyDescent="0.2">
      <c r="A65" s="3" t="s">
        <v>73</v>
      </c>
      <c r="B65" s="3">
        <v>81.849999999999994</v>
      </c>
      <c r="C65" s="3">
        <v>92.05</v>
      </c>
      <c r="D65" s="3">
        <v>16.344999999999999</v>
      </c>
      <c r="E65" s="3">
        <v>64.7</v>
      </c>
      <c r="F65" s="3">
        <v>54.05</v>
      </c>
      <c r="G65" s="3">
        <v>191</v>
      </c>
      <c r="H65" s="3">
        <v>40.817999999999998</v>
      </c>
      <c r="I65" s="3">
        <v>130.19999999999999</v>
      </c>
      <c r="J65" s="3">
        <v>12.54</v>
      </c>
      <c r="K65" s="3">
        <v>93.15</v>
      </c>
      <c r="L65" s="3">
        <v>29037.599609000001</v>
      </c>
      <c r="N65" s="5">
        <v>-5.5130308086486224E-3</v>
      </c>
      <c r="O65" s="5">
        <v>9.7298064883659663E-3</v>
      </c>
      <c r="P65" s="5">
        <v>1.1617598909783311E-3</v>
      </c>
      <c r="Q65" s="5">
        <v>2.3157092555976533E-3</v>
      </c>
      <c r="R65" s="5">
        <v>2.7713643603832772E-3</v>
      </c>
      <c r="S65" s="5">
        <v>-5.2493558861437251E-3</v>
      </c>
      <c r="T65" s="5">
        <v>0</v>
      </c>
      <c r="U65" s="5">
        <v>0</v>
      </c>
      <c r="V65" s="5">
        <v>-1.5961695328221559E-3</v>
      </c>
      <c r="W65" s="5">
        <v>-1.6116038943412292E-3</v>
      </c>
      <c r="X65" s="5">
        <v>-8.9299648021441413E-3</v>
      </c>
      <c r="Z65" s="6" t="s">
        <v>277</v>
      </c>
      <c r="AA65" s="3">
        <v>0.34806790525818582</v>
      </c>
      <c r="AB65" s="3">
        <v>-0.22227313792553774</v>
      </c>
      <c r="AC65" s="3">
        <v>-0.24756342236273765</v>
      </c>
      <c r="AD65" s="3">
        <v>-0.26067012979622434</v>
      </c>
      <c r="AE65" s="3">
        <v>0.29229753284478988</v>
      </c>
      <c r="AF65" s="3">
        <v>4.8921141413223547E-2</v>
      </c>
      <c r="AG65" s="3">
        <v>-9.9417028445405536E-2</v>
      </c>
      <c r="AH65" s="3">
        <v>-0.41617713104599963</v>
      </c>
      <c r="AI65" s="3">
        <v>-0.3638810608876159</v>
      </c>
      <c r="AJ65" s="3">
        <v>-0.54486614743289663</v>
      </c>
      <c r="AK65" s="4" t="s">
        <v>297</v>
      </c>
      <c r="AZ65" s="3" t="s">
        <v>71</v>
      </c>
      <c r="BA65" s="3">
        <v>60</v>
      </c>
      <c r="BB65" s="3">
        <v>1.085197062817836</v>
      </c>
      <c r="BC65" s="3">
        <v>1.0739548752957357</v>
      </c>
      <c r="BD65" s="3">
        <v>0.94600615441674007</v>
      </c>
      <c r="BE65" s="3">
        <v>0.47025298908922603</v>
      </c>
      <c r="BG65" s="3">
        <v>-8.1269433289628268E-3</v>
      </c>
      <c r="BH65" s="3">
        <v>-7.4898546009999067E-3</v>
      </c>
      <c r="BI65" s="3">
        <v>-6.7441457254849638E-3</v>
      </c>
      <c r="BJ65" s="3">
        <v>-4.936737954458037E-3</v>
      </c>
    </row>
    <row r="66" spans="1:62" x14ac:dyDescent="0.2">
      <c r="A66" s="3" t="s">
        <v>74</v>
      </c>
      <c r="B66" s="3">
        <v>81.400000000000006</v>
      </c>
      <c r="C66" s="3">
        <v>92.95</v>
      </c>
      <c r="D66" s="3">
        <v>16.364000000000001</v>
      </c>
      <c r="E66" s="3">
        <v>64.849999999999994</v>
      </c>
      <c r="F66" s="3">
        <v>54.2</v>
      </c>
      <c r="G66" s="3">
        <v>190</v>
      </c>
      <c r="H66" s="3">
        <v>40.817999999999998</v>
      </c>
      <c r="I66" s="3">
        <v>130.19999999999999</v>
      </c>
      <c r="J66" s="3">
        <v>12.52</v>
      </c>
      <c r="K66" s="3">
        <v>93</v>
      </c>
      <c r="L66" s="3">
        <v>28779.449218999998</v>
      </c>
      <c r="N66" s="5">
        <v>-1.8599420236266262E-2</v>
      </c>
      <c r="O66" s="5">
        <v>-2.1751809203321315E-2</v>
      </c>
      <c r="P66" s="5">
        <v>2.1975347630007747E-3</v>
      </c>
      <c r="Q66" s="5">
        <v>-9.2951869871233939E-3</v>
      </c>
      <c r="R66" s="5">
        <v>-3.6968618813260079E-3</v>
      </c>
      <c r="S66" s="5">
        <v>-7.9260652724206793E-3</v>
      </c>
      <c r="T66" s="5">
        <v>-1.0070628156705563E-2</v>
      </c>
      <c r="U66" s="5">
        <v>-4.6189458562944097E-3</v>
      </c>
      <c r="V66" s="5">
        <v>-8.0192891666195365E-3</v>
      </c>
      <c r="W66" s="5">
        <v>-1.8448705552333244E-2</v>
      </c>
      <c r="X66" s="5">
        <v>-1.9332294537372618E-2</v>
      </c>
      <c r="Z66" s="6" t="s">
        <v>278</v>
      </c>
      <c r="AA66" s="3">
        <v>0.28939656450712098</v>
      </c>
      <c r="AB66" s="3">
        <v>-0.31389639881826931</v>
      </c>
      <c r="AC66" s="3">
        <v>-0.13528129188782986</v>
      </c>
      <c r="AD66" s="3">
        <v>-0.23325561081346197</v>
      </c>
      <c r="AE66" s="3">
        <v>-0.83943003634332169</v>
      </c>
      <c r="AF66" s="3">
        <v>9.2352636445003078E-2</v>
      </c>
      <c r="AG66" s="3">
        <v>9.8809907860084645E-2</v>
      </c>
      <c r="AH66" s="3">
        <v>0.10597637917109128</v>
      </c>
      <c r="AI66" s="3">
        <v>5.2375467811178487E-2</v>
      </c>
      <c r="AJ66" s="3">
        <v>-9.0000530631378486E-2</v>
      </c>
      <c r="AK66" s="4" t="s">
        <v>298</v>
      </c>
      <c r="AZ66" s="3" t="s">
        <v>72</v>
      </c>
      <c r="BA66" s="3">
        <v>61</v>
      </c>
      <c r="BB66" s="3">
        <v>1.0764134680204029</v>
      </c>
      <c r="BC66" s="3">
        <v>1.0659411576843043</v>
      </c>
      <c r="BD66" s="3">
        <v>0.93964761660763618</v>
      </c>
      <c r="BE66" s="3">
        <v>0.46793719424919078</v>
      </c>
      <c r="BG66" s="3">
        <v>3.8190858215644413E-3</v>
      </c>
      <c r="BH66" s="3">
        <v>2.9692167637932476E-3</v>
      </c>
      <c r="BI66" s="3">
        <v>-9.1237578451718038E-4</v>
      </c>
      <c r="BJ66" s="3">
        <v>-8.0718817773424156E-3</v>
      </c>
    </row>
    <row r="67" spans="1:62" x14ac:dyDescent="0.2">
      <c r="A67" s="3" t="s">
        <v>75</v>
      </c>
      <c r="B67" s="3">
        <v>79.900000000000006</v>
      </c>
      <c r="C67" s="3">
        <v>90.95</v>
      </c>
      <c r="D67" s="3">
        <v>16.399999999999999</v>
      </c>
      <c r="E67" s="3">
        <v>64.25</v>
      </c>
      <c r="F67" s="3">
        <v>54</v>
      </c>
      <c r="G67" s="3">
        <v>188.5</v>
      </c>
      <c r="H67" s="3">
        <v>40.408999999999999</v>
      </c>
      <c r="I67" s="3">
        <v>129.6</v>
      </c>
      <c r="J67" s="3">
        <v>12.42</v>
      </c>
      <c r="K67" s="3">
        <v>91.3</v>
      </c>
      <c r="L67" s="3">
        <v>28228.419922000001</v>
      </c>
      <c r="N67" s="5">
        <v>-1.8791111072751221E-3</v>
      </c>
      <c r="O67" s="5">
        <v>7.1213667159533145E-3</v>
      </c>
      <c r="P67" s="5">
        <v>6.6243519155784192E-3</v>
      </c>
      <c r="Q67" s="5">
        <v>3.1080056098673481E-3</v>
      </c>
      <c r="R67" s="5">
        <v>1.0133665714805229E-2</v>
      </c>
      <c r="S67" s="5">
        <v>1.5902468233353062E-3</v>
      </c>
      <c r="T67" s="5">
        <v>0</v>
      </c>
      <c r="U67" s="5">
        <v>-3.0911925696726072E-3</v>
      </c>
      <c r="V67" s="5">
        <v>-1.6116038943416733E-3</v>
      </c>
      <c r="W67" s="5">
        <v>0</v>
      </c>
      <c r="X67" s="5">
        <v>9.6906283371183122E-3</v>
      </c>
      <c r="AZ67" s="3" t="s">
        <v>73</v>
      </c>
      <c r="BA67" s="3">
        <v>62</v>
      </c>
      <c r="BB67" s="3">
        <v>1.0805322434064302</v>
      </c>
      <c r="BC67" s="3">
        <v>1.0691108714938593</v>
      </c>
      <c r="BD67" s="3">
        <v>0.93879069585258101</v>
      </c>
      <c r="BE67" s="3">
        <v>0.46417526389231617</v>
      </c>
      <c r="BG67" s="3">
        <v>1.9970212053393999E-4</v>
      </c>
      <c r="BH67" s="3">
        <v>6.6634548164054563E-4</v>
      </c>
      <c r="BI67" s="3">
        <v>3.3282164999022326E-3</v>
      </c>
      <c r="BJ67" s="3">
        <v>7.5880765828115759E-3</v>
      </c>
    </row>
    <row r="68" spans="1:62" x14ac:dyDescent="0.2">
      <c r="A68" s="3" t="s">
        <v>76</v>
      </c>
      <c r="B68" s="3">
        <v>79.75</v>
      </c>
      <c r="C68" s="3">
        <v>91.6</v>
      </c>
      <c r="D68" s="3">
        <v>16.509</v>
      </c>
      <c r="E68" s="3">
        <v>64.45</v>
      </c>
      <c r="F68" s="3">
        <v>54.55</v>
      </c>
      <c r="G68" s="3">
        <v>188.8</v>
      </c>
      <c r="H68" s="3">
        <v>40.408999999999999</v>
      </c>
      <c r="I68" s="3">
        <v>129.19999999999999</v>
      </c>
      <c r="J68" s="3">
        <v>12.4</v>
      </c>
      <c r="K68" s="3">
        <v>91.3</v>
      </c>
      <c r="L68" s="3">
        <v>28503.300781000002</v>
      </c>
      <c r="N68" s="5">
        <v>8.1174345199670483E-3</v>
      </c>
      <c r="O68" s="5">
        <v>3.2697576815570173E-3</v>
      </c>
      <c r="P68" s="5">
        <v>5.4970086167664967E-3</v>
      </c>
      <c r="Q68" s="5">
        <v>6.1871813772560458E-3</v>
      </c>
      <c r="R68" s="5">
        <v>6.3956362364048225E-3</v>
      </c>
      <c r="S68" s="5">
        <v>3.1729270405769228E-3</v>
      </c>
      <c r="T68" s="5">
        <v>1.1196947415855529E-2</v>
      </c>
      <c r="U68" s="5">
        <v>3.8624999738967603E-3</v>
      </c>
      <c r="V68" s="5">
        <v>1.2820688429061367E-2</v>
      </c>
      <c r="W68" s="5">
        <v>1.1976191046715101E-2</v>
      </c>
      <c r="X68" s="5">
        <v>1.4543552678356164E-2</v>
      </c>
      <c r="Z68" s="4" t="s">
        <v>267</v>
      </c>
      <c r="AZ68" s="3" t="s">
        <v>74</v>
      </c>
      <c r="BA68" s="3">
        <v>63</v>
      </c>
      <c r="BB68" s="3">
        <v>1.0807480495344972</v>
      </c>
      <c r="BC68" s="3">
        <v>1.0698235060965073</v>
      </c>
      <c r="BD68" s="3">
        <v>0.94192039981367026</v>
      </c>
      <c r="BE68" s="3">
        <v>0.46771085855950484</v>
      </c>
      <c r="BG68" s="3">
        <v>-9.8373557295829139E-3</v>
      </c>
      <c r="BH68" s="3">
        <v>-9.6197205377393166E-3</v>
      </c>
      <c r="BI68" s="3">
        <v>-7.6177001582225165E-3</v>
      </c>
      <c r="BJ68" s="3">
        <v>-4.889636167697109E-3</v>
      </c>
    </row>
    <row r="69" spans="1:62" x14ac:dyDescent="0.2">
      <c r="A69" s="3" t="s">
        <v>77</v>
      </c>
      <c r="B69" s="3">
        <v>80.400000000000006</v>
      </c>
      <c r="C69" s="3">
        <v>91.9</v>
      </c>
      <c r="D69" s="3">
        <v>16.600000000000001</v>
      </c>
      <c r="E69" s="3">
        <v>64.849999999999994</v>
      </c>
      <c r="F69" s="3">
        <v>54.9</v>
      </c>
      <c r="G69" s="3">
        <v>189.4</v>
      </c>
      <c r="H69" s="3">
        <v>40.863999999999997</v>
      </c>
      <c r="I69" s="3">
        <v>129.69999999999999</v>
      </c>
      <c r="J69" s="3">
        <v>12.56</v>
      </c>
      <c r="K69" s="3">
        <v>92.4</v>
      </c>
      <c r="L69" s="3">
        <v>28920.869140999999</v>
      </c>
      <c r="N69" s="5">
        <v>-4.9875415110394172E-3</v>
      </c>
      <c r="O69" s="5">
        <v>-6.0027465376260025E-3</v>
      </c>
      <c r="P69" s="5">
        <v>1.0837498802915846E-3</v>
      </c>
      <c r="Q69" s="5">
        <v>-6.9632776521446615E-3</v>
      </c>
      <c r="R69" s="5">
        <v>-4.5641338929369724E-3</v>
      </c>
      <c r="S69" s="5">
        <v>-4.2328105526205917E-3</v>
      </c>
      <c r="T69" s="5">
        <v>-4.4637456698333189E-3</v>
      </c>
      <c r="U69" s="5">
        <v>4.6153928084011753E-3</v>
      </c>
      <c r="V69" s="5">
        <v>0</v>
      </c>
      <c r="W69" s="5">
        <v>4.8583091510767673E-3</v>
      </c>
      <c r="X69" s="5">
        <v>-3.9294429895306848E-3</v>
      </c>
      <c r="AA69" s="6">
        <v>5.6509079706213985</v>
      </c>
      <c r="AB69" s="6">
        <v>6.5361963377587164</v>
      </c>
      <c r="AC69" s="6">
        <v>7.2413854518067202</v>
      </c>
      <c r="AD69" s="6">
        <v>7.8787561705216298</v>
      </c>
      <c r="AE69" s="3">
        <v>8.415901303273932</v>
      </c>
      <c r="AF69" s="3">
        <v>8.895442373140952</v>
      </c>
      <c r="AG69" s="3">
        <v>9.3070025602496376</v>
      </c>
      <c r="AH69" s="3">
        <v>9.5921365443891329</v>
      </c>
      <c r="AI69" s="3">
        <v>9.8138244742533356</v>
      </c>
      <c r="AJ69" s="3">
        <v>9.9999999999999964</v>
      </c>
      <c r="AZ69" s="3" t="s">
        <v>75</v>
      </c>
      <c r="BA69" s="3">
        <v>64</v>
      </c>
      <c r="BB69" s="3">
        <v>1.0701684693823919</v>
      </c>
      <c r="BC69" s="3">
        <v>1.0595814448092187</v>
      </c>
      <c r="BD69" s="3">
        <v>0.93477239288787439</v>
      </c>
      <c r="BE69" s="3">
        <v>0.46542950467003086</v>
      </c>
      <c r="BG69" s="3">
        <v>2.1320062062278461E-3</v>
      </c>
      <c r="BH69" s="3">
        <v>3.0394443894597029E-3</v>
      </c>
      <c r="BI69" s="3">
        <v>7.1770961476443143E-3</v>
      </c>
      <c r="BJ69" s="3">
        <v>1.4451080797111326E-2</v>
      </c>
    </row>
    <row r="70" spans="1:62" x14ac:dyDescent="0.2">
      <c r="A70" s="3" t="s">
        <v>78</v>
      </c>
      <c r="B70" s="3">
        <v>80</v>
      </c>
      <c r="C70" s="3">
        <v>91.35</v>
      </c>
      <c r="D70" s="3">
        <v>16.617999999999999</v>
      </c>
      <c r="E70" s="3">
        <v>64.400000000000006</v>
      </c>
      <c r="F70" s="3">
        <v>54.65</v>
      </c>
      <c r="G70" s="3">
        <v>188.6</v>
      </c>
      <c r="H70" s="3">
        <v>40.682000000000002</v>
      </c>
      <c r="I70" s="3">
        <v>130.30000000000001</v>
      </c>
      <c r="J70" s="3">
        <v>12.56</v>
      </c>
      <c r="K70" s="3">
        <v>92.85</v>
      </c>
      <c r="L70" s="3">
        <v>28807.449218999998</v>
      </c>
      <c r="N70" s="5">
        <v>3.7429862788345147E-3</v>
      </c>
      <c r="O70" s="5">
        <v>-2.740478558103554E-3</v>
      </c>
      <c r="P70" s="5">
        <v>1.0825766378759205E-3</v>
      </c>
      <c r="Q70" s="5">
        <v>3.8744721075589794E-3</v>
      </c>
      <c r="R70" s="5">
        <v>1.8281540740625601E-3</v>
      </c>
      <c r="S70" s="5">
        <v>9.4987521579081857E-3</v>
      </c>
      <c r="T70" s="5">
        <v>-3.373265783774837E-3</v>
      </c>
      <c r="U70" s="5">
        <v>-8.4778927822979355E-3</v>
      </c>
      <c r="V70" s="5">
        <v>6.3492276786587531E-3</v>
      </c>
      <c r="W70" s="5">
        <v>-5.3995811534663929E-3</v>
      </c>
      <c r="X70" s="5">
        <v>1.5241865644792796E-3</v>
      </c>
      <c r="AA70" s="4" t="s">
        <v>268</v>
      </c>
      <c r="AZ70" s="3" t="s">
        <v>76</v>
      </c>
      <c r="BA70" s="3">
        <v>65</v>
      </c>
      <c r="BB70" s="3">
        <v>1.0724525091291164</v>
      </c>
      <c r="BC70" s="3">
        <v>1.0628068829736768</v>
      </c>
      <c r="BD70" s="3">
        <v>0.94150547732283618</v>
      </c>
      <c r="BE70" s="3">
        <v>0.47220429768798555</v>
      </c>
      <c r="BG70" s="3">
        <v>7.2961458340239926E-3</v>
      </c>
      <c r="BH70" s="3">
        <v>6.8933796665398492E-3</v>
      </c>
      <c r="BI70" s="3">
        <v>5.5670530700367774E-3</v>
      </c>
      <c r="BJ70" s="3">
        <v>3.3841269602815638E-3</v>
      </c>
    </row>
    <row r="71" spans="1:62" x14ac:dyDescent="0.2">
      <c r="A71" s="3" t="s">
        <v>79</v>
      </c>
      <c r="B71" s="3">
        <v>80.3</v>
      </c>
      <c r="C71" s="3">
        <v>91.1</v>
      </c>
      <c r="D71" s="3">
        <v>16.635999999999999</v>
      </c>
      <c r="E71" s="3">
        <v>64.650000000000006</v>
      </c>
      <c r="F71" s="3">
        <v>54.75</v>
      </c>
      <c r="G71" s="3">
        <v>190.4</v>
      </c>
      <c r="H71" s="3">
        <v>40.545000000000002</v>
      </c>
      <c r="I71" s="3">
        <v>129.19999999999999</v>
      </c>
      <c r="J71" s="3">
        <v>12.64</v>
      </c>
      <c r="K71" s="3">
        <v>92.35</v>
      </c>
      <c r="L71" s="3">
        <v>28851.390625</v>
      </c>
      <c r="N71" s="5">
        <v>7.4442031117305518E-3</v>
      </c>
      <c r="O71" s="5">
        <v>5.4869685875935659E-4</v>
      </c>
      <c r="P71" s="5">
        <v>-2.1663265181675051E-3</v>
      </c>
      <c r="Q71" s="5">
        <v>3.0888055445856821E-3</v>
      </c>
      <c r="R71" s="5">
        <v>6.3723474622587872E-3</v>
      </c>
      <c r="S71" s="5">
        <v>5.2507220949049582E-4</v>
      </c>
      <c r="T71" s="5">
        <v>6.7106921944581899E-3</v>
      </c>
      <c r="U71" s="5">
        <v>7.7369442931018995E-4</v>
      </c>
      <c r="V71" s="5">
        <v>7.8802614253059566E-3</v>
      </c>
      <c r="W71" s="5">
        <v>3.0394235152071403E-2</v>
      </c>
      <c r="X71" s="5">
        <v>5.5602975055144555E-3</v>
      </c>
      <c r="AZ71" s="3" t="s">
        <v>77</v>
      </c>
      <c r="BA71" s="3">
        <v>66</v>
      </c>
      <c r="BB71" s="3">
        <v>1.080305893917415</v>
      </c>
      <c r="BC71" s="3">
        <v>1.0701585240450959</v>
      </c>
      <c r="BD71" s="3">
        <v>0.94676150499873191</v>
      </c>
      <c r="BE71" s="3">
        <v>0.47380500395151415</v>
      </c>
      <c r="BG71" s="3">
        <v>-1.8791768074498949E-3</v>
      </c>
      <c r="BH71" s="3">
        <v>-2.4142876314297984E-3</v>
      </c>
      <c r="BI71" s="3">
        <v>-3.237247183006664E-3</v>
      </c>
      <c r="BJ71" s="3">
        <v>-5.3428249661499061E-3</v>
      </c>
    </row>
    <row r="72" spans="1:62" x14ac:dyDescent="0.2">
      <c r="A72" s="3" t="s">
        <v>80</v>
      </c>
      <c r="B72" s="3">
        <v>80.900000000000006</v>
      </c>
      <c r="C72" s="3">
        <v>91.15</v>
      </c>
      <c r="D72" s="3">
        <v>16.600000000000001</v>
      </c>
      <c r="E72" s="3">
        <v>64.849999999999994</v>
      </c>
      <c r="F72" s="3">
        <v>55.1</v>
      </c>
      <c r="G72" s="3">
        <v>190.5</v>
      </c>
      <c r="H72" s="3">
        <v>40.817999999999998</v>
      </c>
      <c r="I72" s="3">
        <v>129.30000000000001</v>
      </c>
      <c r="J72" s="3">
        <v>12.74</v>
      </c>
      <c r="K72" s="3">
        <v>95.2</v>
      </c>
      <c r="L72" s="3">
        <v>29012.259765999999</v>
      </c>
      <c r="N72" s="5">
        <v>6.1785605919784103E-4</v>
      </c>
      <c r="O72" s="5">
        <v>6.0158781377479542E-3</v>
      </c>
      <c r="P72" s="5">
        <v>6.5448010495083864E-3</v>
      </c>
      <c r="Q72" s="5">
        <v>3.8476384520711449E-3</v>
      </c>
      <c r="R72" s="5">
        <v>9.0702954064258989E-4</v>
      </c>
      <c r="S72" s="5">
        <v>6.8009678825822206E-3</v>
      </c>
      <c r="T72" s="5">
        <v>1.2175079778458109E-2</v>
      </c>
      <c r="U72" s="5">
        <v>1.0003931064519023E-2</v>
      </c>
      <c r="V72" s="5">
        <v>4.6985207815541941E-3</v>
      </c>
      <c r="W72" s="5">
        <v>1.0969031370573923E-2</v>
      </c>
      <c r="X72" s="5">
        <v>1.3582590818497664E-2</v>
      </c>
      <c r="AZ72" s="3" t="s">
        <v>78</v>
      </c>
      <c r="BA72" s="3">
        <v>67</v>
      </c>
      <c r="BB72" s="3">
        <v>1.0782777143874245</v>
      </c>
      <c r="BC72" s="3">
        <v>1.0675779699102474</v>
      </c>
      <c r="BD72" s="3">
        <v>0.94370155955587121</v>
      </c>
      <c r="BE72" s="3">
        <v>0.4712802972860245</v>
      </c>
      <c r="BG72" s="3">
        <v>5.3998927912549122E-4</v>
      </c>
      <c r="BH72" s="3">
        <v>7.7552692995414008E-4</v>
      </c>
      <c r="BI72" s="3">
        <v>4.8716583521693502E-4</v>
      </c>
      <c r="BJ72" s="3">
        <v>6.1314581429849913E-4</v>
      </c>
    </row>
    <row r="73" spans="1:62" x14ac:dyDescent="0.2">
      <c r="A73" s="3" t="s">
        <v>81</v>
      </c>
      <c r="B73" s="3">
        <v>80.95</v>
      </c>
      <c r="C73" s="3">
        <v>91.7</v>
      </c>
      <c r="D73" s="3">
        <v>16.709</v>
      </c>
      <c r="E73" s="3">
        <v>65.099999999999994</v>
      </c>
      <c r="F73" s="3">
        <v>55.15</v>
      </c>
      <c r="G73" s="3">
        <v>191.8</v>
      </c>
      <c r="H73" s="3">
        <v>41.317999999999998</v>
      </c>
      <c r="I73" s="3">
        <v>130.6</v>
      </c>
      <c r="J73" s="3">
        <v>12.8</v>
      </c>
      <c r="K73" s="3">
        <v>96.25</v>
      </c>
      <c r="L73" s="3">
        <v>29409.009765999999</v>
      </c>
      <c r="N73" s="5">
        <v>-6.1958066852518812E-3</v>
      </c>
      <c r="O73" s="5">
        <v>-7.6628727455698709E-3</v>
      </c>
      <c r="P73" s="5">
        <v>-1.0778444157257816E-3</v>
      </c>
      <c r="Q73" s="5">
        <v>3.8328908557074826E-3</v>
      </c>
      <c r="R73" s="5">
        <v>-9.1075310769639373E-3</v>
      </c>
      <c r="S73" s="5">
        <v>1.0422095784434759E-3</v>
      </c>
      <c r="T73" s="5">
        <v>3.3102611987452235E-3</v>
      </c>
      <c r="U73" s="5">
        <v>1.5302221807678151E-3</v>
      </c>
      <c r="V73" s="5">
        <v>1.5612805669524832E-3</v>
      </c>
      <c r="W73" s="5">
        <v>2.716026546077277E-2</v>
      </c>
      <c r="X73" s="5">
        <v>1.9454528368090251E-3</v>
      </c>
      <c r="AZ73" s="3" t="s">
        <v>79</v>
      </c>
      <c r="BA73" s="3">
        <v>68</v>
      </c>
      <c r="BB73" s="3">
        <v>1.0788601300280625</v>
      </c>
      <c r="BC73" s="3">
        <v>1.0684062265018721</v>
      </c>
      <c r="BD73" s="3">
        <v>0.94416141071712056</v>
      </c>
      <c r="BE73" s="3">
        <v>0.47156934943416839</v>
      </c>
      <c r="BG73" s="3">
        <v>6.1332842027637391E-3</v>
      </c>
      <c r="BH73" s="3">
        <v>5.5578928767499036E-3</v>
      </c>
      <c r="BI73" s="3">
        <v>1.9863787050562326E-3</v>
      </c>
      <c r="BJ73" s="3">
        <v>-2.6873662956991007E-3</v>
      </c>
    </row>
    <row r="74" spans="1:62" x14ac:dyDescent="0.2">
      <c r="A74" s="3" t="s">
        <v>82</v>
      </c>
      <c r="B74" s="3">
        <v>80.45</v>
      </c>
      <c r="C74" s="3">
        <v>91</v>
      </c>
      <c r="D74" s="3">
        <v>16.690999999999999</v>
      </c>
      <c r="E74" s="3">
        <v>65.349999999999994</v>
      </c>
      <c r="F74" s="3">
        <v>54.65</v>
      </c>
      <c r="G74" s="3">
        <v>192</v>
      </c>
      <c r="H74" s="3">
        <v>41.454999999999998</v>
      </c>
      <c r="I74" s="3">
        <v>130.80000000000001</v>
      </c>
      <c r="J74" s="3">
        <v>12.82</v>
      </c>
      <c r="K74" s="3">
        <v>98.9</v>
      </c>
      <c r="L74" s="3">
        <v>29466.279297000001</v>
      </c>
      <c r="N74" s="5">
        <v>2.5162419902242661E-2</v>
      </c>
      <c r="O74" s="5">
        <v>-1.1049836186584727E-2</v>
      </c>
      <c r="P74" s="5">
        <v>-1.7588317166127521E-2</v>
      </c>
      <c r="Q74" s="5">
        <v>-4.6012351117168393E-3</v>
      </c>
      <c r="R74" s="5">
        <v>-3.6663652435779959E-3</v>
      </c>
      <c r="S74" s="5">
        <v>-8.3682496705161924E-3</v>
      </c>
      <c r="T74" s="5">
        <v>1.0892099430346303E-2</v>
      </c>
      <c r="U74" s="5">
        <v>-1.5302221807678151E-3</v>
      </c>
      <c r="V74" s="5">
        <v>-9.4044580279781798E-3</v>
      </c>
      <c r="W74" s="5">
        <v>1.6048488870463729E-2</v>
      </c>
      <c r="X74" s="5">
        <v>-4.9435511927953257E-3</v>
      </c>
      <c r="AZ74" s="3" t="s">
        <v>80</v>
      </c>
      <c r="BA74" s="3">
        <v>69</v>
      </c>
      <c r="BB74" s="3">
        <v>1.0854974192046571</v>
      </c>
      <c r="BC74" s="3">
        <v>1.0743608460982801</v>
      </c>
      <c r="BD74" s="3">
        <v>0.94603873676046191</v>
      </c>
      <c r="BE74" s="3">
        <v>0.47030377115627908</v>
      </c>
      <c r="BG74" s="3">
        <v>6.3957486699873223E-3</v>
      </c>
      <c r="BH74" s="3">
        <v>5.8544130413636652E-3</v>
      </c>
      <c r="BI74" s="3">
        <v>3.8773363180725426E-3</v>
      </c>
      <c r="BJ74" s="3">
        <v>-3.3215721062951342E-4</v>
      </c>
    </row>
    <row r="75" spans="1:62" x14ac:dyDescent="0.2">
      <c r="A75" s="3" t="s">
        <v>83</v>
      </c>
      <c r="B75" s="3">
        <v>82.5</v>
      </c>
      <c r="C75" s="3">
        <v>90</v>
      </c>
      <c r="D75" s="3">
        <v>16.399999999999999</v>
      </c>
      <c r="E75" s="3">
        <v>65.05</v>
      </c>
      <c r="F75" s="3">
        <v>54.45</v>
      </c>
      <c r="G75" s="3">
        <v>190.4</v>
      </c>
      <c r="H75" s="3">
        <v>41.908999999999999</v>
      </c>
      <c r="I75" s="3">
        <v>130.6</v>
      </c>
      <c r="J75" s="3">
        <v>12.7</v>
      </c>
      <c r="K75" s="3">
        <v>100.5</v>
      </c>
      <c r="L75" s="3">
        <v>29320.970702999999</v>
      </c>
      <c r="N75" s="5">
        <v>-1.0969031370573923E-2</v>
      </c>
      <c r="O75" s="5">
        <v>7.1962668705953803E-3</v>
      </c>
      <c r="P75" s="5">
        <v>1.9742845499719053E-2</v>
      </c>
      <c r="Q75" s="5">
        <v>-3.8506016002859411E-3</v>
      </c>
      <c r="R75" s="5">
        <v>-1.4801380302261968E-2</v>
      </c>
      <c r="S75" s="5">
        <v>3.6697288889619983E-3</v>
      </c>
      <c r="T75" s="5">
        <v>2.3580993142344298E-2</v>
      </c>
      <c r="U75" s="5">
        <v>-3.0674870678621957E-3</v>
      </c>
      <c r="V75" s="5">
        <v>-1.9078480105238604E-2</v>
      </c>
      <c r="W75" s="5">
        <v>-7.4906717291574054E-3</v>
      </c>
      <c r="X75" s="5">
        <v>-8.5425881495932998E-3</v>
      </c>
      <c r="AZ75" s="3" t="s">
        <v>81</v>
      </c>
      <c r="BA75" s="3">
        <v>70</v>
      </c>
      <c r="BB75" s="3">
        <v>1.0924622367494299</v>
      </c>
      <c r="BC75" s="3">
        <v>1.0806690456322792</v>
      </c>
      <c r="BD75" s="3">
        <v>0.94971396756136761</v>
      </c>
      <c r="BE75" s="3">
        <v>0.47014758230856529</v>
      </c>
      <c r="BG75" s="3">
        <v>1.6469085694908459E-3</v>
      </c>
      <c r="BH75" s="3">
        <v>5.7088363250741569E-4</v>
      </c>
      <c r="BI75" s="3">
        <v>-7.5249602764538986E-3</v>
      </c>
      <c r="BJ75" s="3">
        <v>-2.0604186568386362E-2</v>
      </c>
    </row>
    <row r="76" spans="1:62" x14ac:dyDescent="0.2">
      <c r="A76" s="3" t="s">
        <v>84</v>
      </c>
      <c r="B76" s="3">
        <v>81.599999999999994</v>
      </c>
      <c r="C76" s="3">
        <v>90.65</v>
      </c>
      <c r="D76" s="3">
        <v>16.727</v>
      </c>
      <c r="E76" s="3">
        <v>64.8</v>
      </c>
      <c r="F76" s="3">
        <v>53.65</v>
      </c>
      <c r="G76" s="3">
        <v>191.1</v>
      </c>
      <c r="H76" s="3">
        <v>42.908999999999999</v>
      </c>
      <c r="I76" s="3">
        <v>130.19999999999999</v>
      </c>
      <c r="J76" s="3">
        <v>12.46</v>
      </c>
      <c r="K76" s="3">
        <v>99.75</v>
      </c>
      <c r="L76" s="3">
        <v>29071.560547000001</v>
      </c>
      <c r="N76" s="5">
        <v>2.6603745517975952E-2</v>
      </c>
      <c r="O76" s="5">
        <v>5.5005639238112636E-3</v>
      </c>
      <c r="P76" s="5">
        <v>-4.3137086842288674E-3</v>
      </c>
      <c r="Q76" s="5">
        <v>-7.7190277858107947E-4</v>
      </c>
      <c r="R76" s="5">
        <v>4.6490088382435957E-3</v>
      </c>
      <c r="S76" s="5">
        <v>2.6130142905325116E-3</v>
      </c>
      <c r="T76" s="5">
        <v>9.4866588744317859E-3</v>
      </c>
      <c r="U76" s="5">
        <v>3.8328908557074826E-3</v>
      </c>
      <c r="V76" s="5">
        <v>-1.4551590640310863E-2</v>
      </c>
      <c r="W76" s="5">
        <v>-5.0137880218059649E-4</v>
      </c>
      <c r="X76" s="5">
        <v>1.4367583644130377E-3</v>
      </c>
      <c r="AZ76" s="3" t="s">
        <v>82</v>
      </c>
      <c r="BA76" s="3">
        <v>71</v>
      </c>
      <c r="BB76" s="3">
        <v>1.0942629045295795</v>
      </c>
      <c r="BC76" s="3">
        <v>1.0812861580355131</v>
      </c>
      <c r="BD76" s="3">
        <v>0.94259422915207924</v>
      </c>
      <c r="BE76" s="3">
        <v>0.46055968838096317</v>
      </c>
      <c r="BG76" s="3">
        <v>-5.6826583873620384E-4</v>
      </c>
      <c r="BH76" s="3">
        <v>-1.3375481029485881E-3</v>
      </c>
      <c r="BI76" s="3">
        <v>-7.2951646310506144E-3</v>
      </c>
      <c r="BJ76" s="3">
        <v>-1.5290869466579204E-2</v>
      </c>
    </row>
    <row r="77" spans="1:62" x14ac:dyDescent="0.2">
      <c r="A77" s="3" t="s">
        <v>85</v>
      </c>
      <c r="B77" s="3">
        <v>83.8</v>
      </c>
      <c r="C77" s="3">
        <v>91.15</v>
      </c>
      <c r="D77" s="3">
        <v>16.655000000000001</v>
      </c>
      <c r="E77" s="3">
        <v>64.75</v>
      </c>
      <c r="F77" s="3">
        <v>53.9</v>
      </c>
      <c r="G77" s="3">
        <v>191.6</v>
      </c>
      <c r="H77" s="3">
        <v>43.317999999999998</v>
      </c>
      <c r="I77" s="3">
        <v>130.69999999999999</v>
      </c>
      <c r="J77" s="3">
        <v>12.28</v>
      </c>
      <c r="K77" s="3">
        <v>99.7</v>
      </c>
      <c r="L77" s="3">
        <v>29113.359375</v>
      </c>
      <c r="N77" s="5">
        <v>-1.0194990851583263E-2</v>
      </c>
      <c r="O77" s="5">
        <v>-8.8154840864342887E-3</v>
      </c>
      <c r="P77" s="5">
        <v>-5.4788059623223084E-3</v>
      </c>
      <c r="Q77" s="5">
        <v>-1.634913800153015E-2</v>
      </c>
      <c r="R77" s="5">
        <v>-2.786810907179138E-3</v>
      </c>
      <c r="S77" s="5">
        <v>-1.0493275715838024E-2</v>
      </c>
      <c r="T77" s="5">
        <v>-4.2103377254623098E-3</v>
      </c>
      <c r="U77" s="5">
        <v>-5.3701701745936248E-3</v>
      </c>
      <c r="V77" s="5">
        <v>-8.1766604372455198E-3</v>
      </c>
      <c r="W77" s="5">
        <v>-1.2109128789749235E-2</v>
      </c>
      <c r="X77" s="5">
        <v>-2.0474117511142254E-2</v>
      </c>
      <c r="AZ77" s="3" t="s">
        <v>83</v>
      </c>
      <c r="BA77" s="3">
        <v>72</v>
      </c>
      <c r="BB77" s="3">
        <v>1.0936412489518823</v>
      </c>
      <c r="BC77" s="3">
        <v>1.0798408525843455</v>
      </c>
      <c r="BD77" s="3">
        <v>0.93574287035075976</v>
      </c>
      <c r="BE77" s="3">
        <v>0.45357089880950618</v>
      </c>
      <c r="BG77" s="3">
        <v>-3.0492099250285787E-4</v>
      </c>
      <c r="BH77" s="3">
        <v>-1.665997629217153E-4</v>
      </c>
      <c r="BI77" s="3">
        <v>6.3695764412557976E-4</v>
      </c>
      <c r="BJ77" s="3">
        <v>-6.900515956876907E-4</v>
      </c>
    </row>
    <row r="78" spans="1:62" x14ac:dyDescent="0.2">
      <c r="A78" s="3" t="s">
        <v>86</v>
      </c>
      <c r="B78" s="3">
        <v>82.95</v>
      </c>
      <c r="C78" s="3">
        <v>90.35</v>
      </c>
      <c r="D78" s="3">
        <v>16.564</v>
      </c>
      <c r="E78" s="3">
        <v>63.7</v>
      </c>
      <c r="F78" s="3">
        <v>53.75</v>
      </c>
      <c r="G78" s="3">
        <v>189.6</v>
      </c>
      <c r="H78" s="3">
        <v>43.136000000000003</v>
      </c>
      <c r="I78" s="3">
        <v>130</v>
      </c>
      <c r="J78" s="3">
        <v>12.18</v>
      </c>
      <c r="K78" s="3">
        <v>98.5</v>
      </c>
      <c r="L78" s="3">
        <v>28523.349609000001</v>
      </c>
      <c r="N78" s="5">
        <v>6.0259116014460545E-4</v>
      </c>
      <c r="O78" s="5">
        <v>3.866340082853803E-3</v>
      </c>
      <c r="P78" s="5">
        <v>7.6379863129596437E-3</v>
      </c>
      <c r="Q78" s="5">
        <v>3.1347988053713749E-3</v>
      </c>
      <c r="R78" s="5">
        <v>2.786810907179138E-3</v>
      </c>
      <c r="S78" s="5">
        <v>9.4488891979320755E-3</v>
      </c>
      <c r="T78" s="5">
        <v>9.4369708548609488E-3</v>
      </c>
      <c r="U78" s="5">
        <v>-7.6952677902841771E-4</v>
      </c>
      <c r="V78" s="5">
        <v>3.2786914616984575E-3</v>
      </c>
      <c r="W78" s="5">
        <v>1.0147134305462657E-3</v>
      </c>
      <c r="X78" s="5">
        <v>1.5260240760071042E-3</v>
      </c>
      <c r="AZ78" s="3" t="s">
        <v>84</v>
      </c>
      <c r="BA78" s="3">
        <v>73</v>
      </c>
      <c r="BB78" s="3">
        <v>1.0933078256132809</v>
      </c>
      <c r="BC78" s="3">
        <v>1.0796609663392307</v>
      </c>
      <c r="BD78" s="3">
        <v>0.93633908878775329</v>
      </c>
      <c r="BE78" s="3">
        <v>0.45325801945089089</v>
      </c>
      <c r="BG78" s="3">
        <v>2.9589762246415713E-3</v>
      </c>
      <c r="BH78" s="3">
        <v>3.432356404675152E-3</v>
      </c>
      <c r="BI78" s="3">
        <v>4.3336956770710228E-3</v>
      </c>
      <c r="BJ78" s="3">
        <v>7.2889166164340491E-3</v>
      </c>
    </row>
    <row r="79" spans="1:62" x14ac:dyDescent="0.2">
      <c r="A79" s="3" t="s">
        <v>87</v>
      </c>
      <c r="B79" s="3">
        <v>83</v>
      </c>
      <c r="C79" s="3">
        <v>90.7</v>
      </c>
      <c r="D79" s="3">
        <v>16.690999999999999</v>
      </c>
      <c r="E79" s="3">
        <v>63.9</v>
      </c>
      <c r="F79" s="3">
        <v>53.9</v>
      </c>
      <c r="G79" s="3">
        <v>191.4</v>
      </c>
      <c r="H79" s="3">
        <v>43.545000000000002</v>
      </c>
      <c r="I79" s="3">
        <v>129.9</v>
      </c>
      <c r="J79" s="3">
        <v>12.22</v>
      </c>
      <c r="K79" s="3">
        <v>98.6</v>
      </c>
      <c r="L79" s="3">
        <v>28566.910156000002</v>
      </c>
      <c r="N79" s="5">
        <v>-1.0902591338215473E-2</v>
      </c>
      <c r="O79" s="5">
        <v>-6.0824074717649168E-3</v>
      </c>
      <c r="P79" s="5">
        <v>3.2300542498875373E-3</v>
      </c>
      <c r="Q79" s="5">
        <v>-7.8277890494060642E-4</v>
      </c>
      <c r="R79" s="5">
        <v>-2.786810907179138E-3</v>
      </c>
      <c r="S79" s="5">
        <v>-3.6639664124802351E-3</v>
      </c>
      <c r="T79" s="5">
        <v>1.4522580175289956E-2</v>
      </c>
      <c r="U79" s="5">
        <v>6.9045153465445708E-3</v>
      </c>
      <c r="V79" s="5">
        <v>2.1053409197832273E-2</v>
      </c>
      <c r="W79" s="5">
        <v>-7.6355677665045363E-3</v>
      </c>
      <c r="X79" s="5">
        <v>5.6318987506944751E-3</v>
      </c>
      <c r="AZ79" s="3" t="s">
        <v>85</v>
      </c>
      <c r="BA79" s="3">
        <v>74</v>
      </c>
      <c r="BB79" s="3">
        <v>1.0965476884501424</v>
      </c>
      <c r="BC79" s="3">
        <v>1.0833731146354901</v>
      </c>
      <c r="BD79" s="3">
        <v>0.94040570281836766</v>
      </c>
      <c r="BE79" s="3">
        <v>0.456573849082895</v>
      </c>
      <c r="BG79" s="3">
        <v>-8.2641027566770081E-3</v>
      </c>
      <c r="BH79" s="3">
        <v>-8.252104498093854E-3</v>
      </c>
      <c r="BI79" s="3">
        <v>-4.7181376539879305E-3</v>
      </c>
      <c r="BJ79" s="3">
        <v>2.4405085814271921E-4</v>
      </c>
    </row>
    <row r="80" spans="1:62" x14ac:dyDescent="0.2">
      <c r="A80" s="3" t="s">
        <v>88</v>
      </c>
      <c r="B80" s="3">
        <v>82.1</v>
      </c>
      <c r="C80" s="3">
        <v>90.15</v>
      </c>
      <c r="D80" s="3">
        <v>16.745000000000001</v>
      </c>
      <c r="E80" s="3">
        <v>63.85</v>
      </c>
      <c r="F80" s="3">
        <v>53.75</v>
      </c>
      <c r="G80" s="3">
        <v>190.7</v>
      </c>
      <c r="H80" s="3">
        <v>44.182000000000002</v>
      </c>
      <c r="I80" s="3">
        <v>130.80000000000001</v>
      </c>
      <c r="J80" s="3">
        <v>12.48</v>
      </c>
      <c r="K80" s="3">
        <v>97.85</v>
      </c>
      <c r="L80" s="3">
        <v>28728.25</v>
      </c>
      <c r="N80" s="5">
        <v>4.8602768822521014E-3</v>
      </c>
      <c r="O80" s="5">
        <v>2.2160673889111138E-3</v>
      </c>
      <c r="P80" s="5">
        <v>4.3500351645384683E-3</v>
      </c>
      <c r="Q80" s="5">
        <v>-2.3520199004307685E-3</v>
      </c>
      <c r="R80" s="5">
        <v>3.7140246963716095E-3</v>
      </c>
      <c r="S80" s="5">
        <v>5.2301374452250471E-3</v>
      </c>
      <c r="T80" s="5">
        <v>5.1246852794717412E-3</v>
      </c>
      <c r="U80" s="5">
        <v>2.1180822079447381E-2</v>
      </c>
      <c r="V80" s="5">
        <v>2.2187914975362322E-2</v>
      </c>
      <c r="W80" s="5">
        <v>1.6219311457896346E-2</v>
      </c>
      <c r="X80" s="5">
        <v>1.633325983306122E-3</v>
      </c>
      <c r="AZ80" s="3" t="s">
        <v>86</v>
      </c>
      <c r="BA80" s="3">
        <v>75</v>
      </c>
      <c r="BB80" s="3">
        <v>1.0875230473177508</v>
      </c>
      <c r="BC80" s="3">
        <v>1.0744697925793256</v>
      </c>
      <c r="BD80" s="3">
        <v>0.93597918992194351</v>
      </c>
      <c r="BE80" s="3">
        <v>0.45668528992063212</v>
      </c>
      <c r="BG80" s="3">
        <v>4.0892099793076453E-3</v>
      </c>
      <c r="BH80" s="3">
        <v>4.1334258203771929E-3</v>
      </c>
      <c r="BI80" s="3">
        <v>4.3750259468678734E-3</v>
      </c>
      <c r="BJ80" s="3">
        <v>4.239960115810959E-3</v>
      </c>
    </row>
    <row r="81" spans="1:62" x14ac:dyDescent="0.2">
      <c r="A81" s="3" t="s">
        <v>89</v>
      </c>
      <c r="B81" s="3">
        <v>82.5</v>
      </c>
      <c r="C81" s="3">
        <v>90.35</v>
      </c>
      <c r="D81" s="3">
        <v>16.818000000000001</v>
      </c>
      <c r="E81" s="3">
        <v>63.7</v>
      </c>
      <c r="F81" s="3">
        <v>53.95</v>
      </c>
      <c r="G81" s="3">
        <v>191.7</v>
      </c>
      <c r="H81" s="3">
        <v>44.408999999999999</v>
      </c>
      <c r="I81" s="3">
        <v>133.6</v>
      </c>
      <c r="J81" s="3">
        <v>12.76</v>
      </c>
      <c r="K81" s="3">
        <v>99.45</v>
      </c>
      <c r="L81" s="3">
        <v>28775.210938</v>
      </c>
      <c r="N81" s="5">
        <v>-6.062443350272062E-4</v>
      </c>
      <c r="O81" s="5">
        <v>7.1684894786123721E-3</v>
      </c>
      <c r="P81" s="5">
        <v>1.7154899431805148E-2</v>
      </c>
      <c r="Q81" s="5">
        <v>3.1347988053713749E-3</v>
      </c>
      <c r="R81" s="5">
        <v>9.2251576748259012E-3</v>
      </c>
      <c r="S81" s="5">
        <v>1.0378920361351796E-2</v>
      </c>
      <c r="T81" s="5">
        <v>2.1276687353619206E-2</v>
      </c>
      <c r="U81" s="5">
        <v>8.1998223137729198E-3</v>
      </c>
      <c r="V81" s="5">
        <v>2.017135886377952E-2</v>
      </c>
      <c r="W81" s="5">
        <v>1.5465511541278509E-2</v>
      </c>
      <c r="X81" s="5">
        <v>9.5509913426816695E-3</v>
      </c>
      <c r="AZ81" s="3" t="s">
        <v>87</v>
      </c>
      <c r="BA81" s="3">
        <v>76</v>
      </c>
      <c r="BB81" s="3">
        <v>1.0919792624055735</v>
      </c>
      <c r="BC81" s="3">
        <v>1.0789202251933485</v>
      </c>
      <c r="BD81" s="3">
        <v>0.94008309396089107</v>
      </c>
      <c r="BE81" s="3">
        <v>0.45862572811867702</v>
      </c>
      <c r="BG81" s="3">
        <v>1.8735726053084739E-3</v>
      </c>
      <c r="BH81" s="3">
        <v>5.5867332246124779E-4</v>
      </c>
      <c r="BI81" s="3">
        <v>-1.0305137158793873E-3</v>
      </c>
      <c r="BJ81" s="3">
        <v>-6.673892582282015E-3</v>
      </c>
    </row>
    <row r="82" spans="1:62" x14ac:dyDescent="0.2">
      <c r="A82" s="3" t="s">
        <v>90</v>
      </c>
      <c r="B82" s="3">
        <v>82.45</v>
      </c>
      <c r="C82" s="3">
        <v>91</v>
      </c>
      <c r="D82" s="3">
        <v>17.109000000000002</v>
      </c>
      <c r="E82" s="3">
        <v>63.9</v>
      </c>
      <c r="F82" s="3">
        <v>54.45</v>
      </c>
      <c r="G82" s="3">
        <v>193.7</v>
      </c>
      <c r="H82" s="3">
        <v>45.363999999999997</v>
      </c>
      <c r="I82" s="3">
        <v>134.69999999999999</v>
      </c>
      <c r="J82" s="3">
        <v>13.02</v>
      </c>
      <c r="K82" s="3">
        <v>101</v>
      </c>
      <c r="L82" s="3">
        <v>29051.359375</v>
      </c>
      <c r="N82" s="5">
        <v>1.9814517973294699E-2</v>
      </c>
      <c r="O82" s="5">
        <v>7.1174677688645716E-3</v>
      </c>
      <c r="P82" s="5">
        <v>1.5830547172757115E-2</v>
      </c>
      <c r="Q82" s="5">
        <v>1.3214339196158775E-2</v>
      </c>
      <c r="R82" s="5">
        <v>2.751033371889644E-3</v>
      </c>
      <c r="S82" s="5">
        <v>1.0272303989079745E-2</v>
      </c>
      <c r="T82" s="5">
        <v>2.9934870038208494E-3</v>
      </c>
      <c r="U82" s="5">
        <v>4.854267004615398E-2</v>
      </c>
      <c r="V82" s="5">
        <v>5.0909196053655847E-2</v>
      </c>
      <c r="W82" s="5">
        <v>1.1811160928344222E-2</v>
      </c>
      <c r="X82" s="5">
        <v>1.7425136945673714E-2</v>
      </c>
      <c r="AZ82" s="3" t="s">
        <v>88</v>
      </c>
      <c r="BA82" s="3">
        <v>77</v>
      </c>
      <c r="BB82" s="3">
        <v>1.0940270826080634</v>
      </c>
      <c r="BC82" s="3">
        <v>1.0795231575456561</v>
      </c>
      <c r="BD82" s="3">
        <v>0.9391148244317018</v>
      </c>
      <c r="BE82" s="3">
        <v>0.4555751003777867</v>
      </c>
      <c r="BG82" s="3">
        <v>8.7187877725194707E-3</v>
      </c>
      <c r="BH82" s="3">
        <v>7.1972322438722397E-3</v>
      </c>
      <c r="BI82" s="3">
        <v>4.7994970459515271E-3</v>
      </c>
      <c r="BJ82" s="3">
        <v>-1.3559302891558156E-3</v>
      </c>
    </row>
    <row r="83" spans="1:62" x14ac:dyDescent="0.2">
      <c r="A83" s="3" t="s">
        <v>91</v>
      </c>
      <c r="B83" s="3">
        <v>84.1</v>
      </c>
      <c r="C83" s="3">
        <v>91.65</v>
      </c>
      <c r="D83" s="3">
        <v>17.382000000000001</v>
      </c>
      <c r="E83" s="3">
        <v>64.75</v>
      </c>
      <c r="F83" s="3">
        <v>54.6</v>
      </c>
      <c r="G83" s="3">
        <v>195.7</v>
      </c>
      <c r="H83" s="3">
        <v>45.5</v>
      </c>
      <c r="I83" s="3">
        <v>141.4</v>
      </c>
      <c r="J83" s="3">
        <v>13.7</v>
      </c>
      <c r="K83" s="3">
        <v>102.2</v>
      </c>
      <c r="L83" s="3">
        <v>29562.019531000002</v>
      </c>
      <c r="N83" s="5">
        <v>1.0644689511414285E-2</v>
      </c>
      <c r="O83" s="5">
        <v>-7.1174677688645716E-3</v>
      </c>
      <c r="P83" s="5">
        <v>1.0350182052145662E-3</v>
      </c>
      <c r="Q83" s="5">
        <v>1.0752791776261539E-2</v>
      </c>
      <c r="R83" s="5">
        <v>-5.509655810969516E-3</v>
      </c>
      <c r="S83" s="5">
        <v>4.5883333110356972E-3</v>
      </c>
      <c r="T83" s="5">
        <v>-2.9934870038208494E-3</v>
      </c>
      <c r="U83" s="5">
        <v>-7.0746377199082389E-4</v>
      </c>
      <c r="V83" s="5">
        <v>1.016711735544451E-2</v>
      </c>
      <c r="W83" s="5">
        <v>-9.8329209162386633E-3</v>
      </c>
      <c r="X83" s="5">
        <v>2.1170440508946342E-3</v>
      </c>
      <c r="AZ83" s="3" t="s">
        <v>89</v>
      </c>
      <c r="BA83" s="3">
        <v>78</v>
      </c>
      <c r="BB83" s="3">
        <v>1.1036073761428806</v>
      </c>
      <c r="BC83" s="3">
        <v>1.0873207633533879</v>
      </c>
      <c r="BD83" s="3">
        <v>0.94363293691818229</v>
      </c>
      <c r="BE83" s="3">
        <v>0.45495779090908184</v>
      </c>
      <c r="BG83" s="3">
        <v>1.1651606538432308E-2</v>
      </c>
      <c r="BH83" s="3">
        <v>1.0886292679900336E-2</v>
      </c>
      <c r="BI83" s="3">
        <v>1.0946640660245754E-2</v>
      </c>
      <c r="BJ83" s="3">
        <v>8.943894787602269E-3</v>
      </c>
    </row>
    <row r="84" spans="1:62" x14ac:dyDescent="0.2">
      <c r="A84" s="3" t="s">
        <v>92</v>
      </c>
      <c r="B84" s="3">
        <v>85</v>
      </c>
      <c r="C84" s="3">
        <v>91</v>
      </c>
      <c r="D84" s="3">
        <v>17.399999999999999</v>
      </c>
      <c r="E84" s="3">
        <v>65.45</v>
      </c>
      <c r="F84" s="3">
        <v>54.3</v>
      </c>
      <c r="G84" s="3">
        <v>196.6</v>
      </c>
      <c r="H84" s="3">
        <v>45.363999999999997</v>
      </c>
      <c r="I84" s="3">
        <v>141.30000000000001</v>
      </c>
      <c r="J84" s="3">
        <v>13.84</v>
      </c>
      <c r="K84" s="3">
        <v>101.2</v>
      </c>
      <c r="L84" s="3">
        <v>29624.669922000001</v>
      </c>
      <c r="N84" s="5">
        <v>1.1114475338541929E-2</v>
      </c>
      <c r="O84" s="5">
        <v>3.8387763071661141E-3</v>
      </c>
      <c r="P84" s="5">
        <v>6.2448282236964303E-3</v>
      </c>
      <c r="Q84" s="5">
        <v>1.4410564126479564E-2</v>
      </c>
      <c r="R84" s="5">
        <v>3.6764747293087652E-3</v>
      </c>
      <c r="S84" s="5">
        <v>5.085176819470405E-4</v>
      </c>
      <c r="T84" s="5">
        <v>9.9148433314777407E-4</v>
      </c>
      <c r="U84" s="5">
        <v>2.1208915691373065E-3</v>
      </c>
      <c r="V84" s="5">
        <v>2.8860048891345969E-3</v>
      </c>
      <c r="W84" s="5">
        <v>1.0810916104215806E-2</v>
      </c>
      <c r="X84" s="5">
        <v>1.2136175380614844E-2</v>
      </c>
      <c r="AZ84" s="3" t="s">
        <v>90</v>
      </c>
      <c r="BA84" s="3">
        <v>79</v>
      </c>
      <c r="BB84" s="3">
        <v>1.1165413796965036</v>
      </c>
      <c r="BC84" s="3">
        <v>1.0992223197946558</v>
      </c>
      <c r="BD84" s="3">
        <v>0.95401929172543543</v>
      </c>
      <c r="BE84" s="3">
        <v>0.45904513667236868</v>
      </c>
      <c r="BG84" s="3">
        <v>1.9131807692257377E-2</v>
      </c>
      <c r="BH84" s="3">
        <v>1.6508275429563818E-2</v>
      </c>
      <c r="BI84" s="3">
        <v>1.0874129834242345E-2</v>
      </c>
      <c r="BJ84" s="3">
        <v>-2.6849019339811875E-3</v>
      </c>
    </row>
    <row r="85" spans="1:62" x14ac:dyDescent="0.2">
      <c r="A85" s="3" t="s">
        <v>93</v>
      </c>
      <c r="B85" s="3">
        <v>85.95</v>
      </c>
      <c r="C85" s="3">
        <v>91.35</v>
      </c>
      <c r="D85" s="3">
        <v>17.509</v>
      </c>
      <c r="E85" s="3">
        <v>66.400000000000006</v>
      </c>
      <c r="F85" s="3">
        <v>54.5</v>
      </c>
      <c r="G85" s="3">
        <v>196.7</v>
      </c>
      <c r="H85" s="3">
        <v>45.408999999999999</v>
      </c>
      <c r="I85" s="3">
        <v>141.6</v>
      </c>
      <c r="J85" s="3">
        <v>13.88</v>
      </c>
      <c r="K85" s="3">
        <v>102.3</v>
      </c>
      <c r="L85" s="3">
        <v>29986.390625</v>
      </c>
      <c r="N85" s="5">
        <v>-4.0804486811625296E-3</v>
      </c>
      <c r="O85" s="5">
        <v>-1.6433857437299082E-3</v>
      </c>
      <c r="P85" s="5">
        <v>-8.315937006832641E-3</v>
      </c>
      <c r="Q85" s="5">
        <v>1.504891179419765E-3</v>
      </c>
      <c r="R85" s="5">
        <v>-1.8365478073016916E-3</v>
      </c>
      <c r="S85" s="5">
        <v>8.6054694557597955E-3</v>
      </c>
      <c r="T85" s="5">
        <v>2.0020026706730754E-3</v>
      </c>
      <c r="U85" s="5">
        <v>-7.0646417632680425E-4</v>
      </c>
      <c r="V85" s="5">
        <v>-8.6831225734607109E-3</v>
      </c>
      <c r="W85" s="5">
        <v>0</v>
      </c>
      <c r="X85" s="5">
        <v>-1.6711634994219793E-3</v>
      </c>
      <c r="AZ85" s="3" t="s">
        <v>91</v>
      </c>
      <c r="BA85" s="3">
        <v>80</v>
      </c>
      <c r="BB85" s="3">
        <v>1.1381084856757759</v>
      </c>
      <c r="BC85" s="3">
        <v>1.1175191940026725</v>
      </c>
      <c r="BD85" s="3">
        <v>0.96445003119247175</v>
      </c>
      <c r="BE85" s="3">
        <v>0.45781429857631956</v>
      </c>
      <c r="BG85" s="3">
        <v>1.0219097360964768E-3</v>
      </c>
      <c r="BH85" s="3">
        <v>7.651137000733027E-4</v>
      </c>
      <c r="BI85" s="3">
        <v>-2.9489238480883209E-3</v>
      </c>
      <c r="BJ85" s="3">
        <v>-8.9615193483366662E-3</v>
      </c>
    </row>
    <row r="86" spans="1:62" x14ac:dyDescent="0.2">
      <c r="A86" s="3" t="s">
        <v>94</v>
      </c>
      <c r="B86" s="3">
        <v>85.6</v>
      </c>
      <c r="C86" s="3">
        <v>91.2</v>
      </c>
      <c r="D86" s="3">
        <v>17.364000000000001</v>
      </c>
      <c r="E86" s="3">
        <v>66.5</v>
      </c>
      <c r="F86" s="3">
        <v>54.4</v>
      </c>
      <c r="G86" s="3">
        <v>198.4</v>
      </c>
      <c r="H86" s="3">
        <v>45.5</v>
      </c>
      <c r="I86" s="3">
        <v>141.5</v>
      </c>
      <c r="J86" s="3">
        <v>13.76</v>
      </c>
      <c r="K86" s="3">
        <v>102.3</v>
      </c>
      <c r="L86" s="3">
        <v>29936.320313</v>
      </c>
      <c r="N86" s="5">
        <v>4.662013105811269E-3</v>
      </c>
      <c r="O86" s="5">
        <v>-7.152712750863266E-3</v>
      </c>
      <c r="P86" s="5">
        <v>-6.2971408873804258E-3</v>
      </c>
      <c r="Q86" s="5">
        <v>3.0030052597700418E-3</v>
      </c>
      <c r="R86" s="5">
        <v>0</v>
      </c>
      <c r="S86" s="5">
        <v>-1.3702320448742533E-2</v>
      </c>
      <c r="T86" s="5">
        <v>4.9766071119661248E-3</v>
      </c>
      <c r="U86" s="5">
        <v>-1.4144273928105022E-3</v>
      </c>
      <c r="V86" s="5">
        <v>-4.3699996711183964E-3</v>
      </c>
      <c r="W86" s="5">
        <v>-2.0741484306816993E-2</v>
      </c>
      <c r="X86" s="5">
        <v>4.6932908513017679E-3</v>
      </c>
      <c r="AZ86" s="3" t="s">
        <v>92</v>
      </c>
      <c r="BA86" s="3">
        <v>81</v>
      </c>
      <c r="BB86" s="3">
        <v>1.1392721242835677</v>
      </c>
      <c r="BC86" s="3">
        <v>1.1183745504288318</v>
      </c>
      <c r="BD86" s="3">
        <v>0.9616101308780971</v>
      </c>
      <c r="BE86" s="3">
        <v>0.45372991535561147</v>
      </c>
      <c r="BG86" s="3">
        <v>5.4481557562424121E-3</v>
      </c>
      <c r="BH86" s="3">
        <v>5.8036333415116548E-3</v>
      </c>
      <c r="BI86" s="3">
        <v>3.7696662644785758E-3</v>
      </c>
      <c r="BJ86" s="3">
        <v>1.9843717512224579E-3</v>
      </c>
    </row>
    <row r="87" spans="1:62" x14ac:dyDescent="0.2">
      <c r="A87" s="3" t="s">
        <v>95</v>
      </c>
      <c r="B87" s="3">
        <v>86</v>
      </c>
      <c r="C87" s="3">
        <v>90.55</v>
      </c>
      <c r="D87" s="3">
        <v>17.254999999999999</v>
      </c>
      <c r="E87" s="3">
        <v>66.7</v>
      </c>
      <c r="F87" s="3">
        <v>54.4</v>
      </c>
      <c r="G87" s="3">
        <v>195.7</v>
      </c>
      <c r="H87" s="3">
        <v>45.726999999999997</v>
      </c>
      <c r="I87" s="3">
        <v>141.30000000000001</v>
      </c>
      <c r="J87" s="3">
        <v>13.7</v>
      </c>
      <c r="K87" s="3">
        <v>100.2</v>
      </c>
      <c r="L87" s="3">
        <v>30077.150390999999</v>
      </c>
      <c r="N87" s="5">
        <v>2.3228814161404543E-3</v>
      </c>
      <c r="O87" s="5">
        <v>5.5202871951109955E-4</v>
      </c>
      <c r="P87" s="5">
        <v>0</v>
      </c>
      <c r="Q87" s="5">
        <v>4.4876664693873636E-3</v>
      </c>
      <c r="R87" s="5">
        <v>-1.8399269220070735E-3</v>
      </c>
      <c r="S87" s="5">
        <v>1.0673544786581779E-2</v>
      </c>
      <c r="T87" s="5">
        <v>-1.9920543347478059E-3</v>
      </c>
      <c r="U87" s="5">
        <v>-4.255325570138524E-3</v>
      </c>
      <c r="V87" s="5">
        <v>-7.3260400920727164E-3</v>
      </c>
      <c r="W87" s="5">
        <v>6.9617387087994587E-3</v>
      </c>
      <c r="X87" s="5">
        <v>2.6675643718387931E-3</v>
      </c>
      <c r="AZ87" s="3" t="s">
        <v>93</v>
      </c>
      <c r="BA87" s="3">
        <v>82</v>
      </c>
      <c r="BB87" s="3">
        <v>1.1454959951794885</v>
      </c>
      <c r="BC87" s="3">
        <v>1.124884057382618</v>
      </c>
      <c r="BD87" s="3">
        <v>0.96524192116595287</v>
      </c>
      <c r="BE87" s="3">
        <v>0.45463117810675541</v>
      </c>
      <c r="BG87" s="3">
        <v>-1.4780495019031947E-3</v>
      </c>
      <c r="BH87" s="3">
        <v>-1.4640813134302461E-3</v>
      </c>
      <c r="BI87" s="3">
        <v>-3.9983463279525122E-3</v>
      </c>
      <c r="BJ87" s="3">
        <v>-7.990543905435521E-3</v>
      </c>
    </row>
    <row r="88" spans="1:62" x14ac:dyDescent="0.2">
      <c r="A88" s="3" t="s">
        <v>96</v>
      </c>
      <c r="B88" s="3">
        <v>86.2</v>
      </c>
      <c r="C88" s="3">
        <v>90.6</v>
      </c>
      <c r="D88" s="3">
        <v>17.254999999999999</v>
      </c>
      <c r="E88" s="3">
        <v>67</v>
      </c>
      <c r="F88" s="3">
        <v>54.3</v>
      </c>
      <c r="G88" s="3">
        <v>197.8</v>
      </c>
      <c r="H88" s="3">
        <v>45.636000000000003</v>
      </c>
      <c r="I88" s="3">
        <v>140.69999999999999</v>
      </c>
      <c r="J88" s="3">
        <v>13.6</v>
      </c>
      <c r="K88" s="3">
        <v>100.9</v>
      </c>
      <c r="L88" s="3">
        <v>30157.490234000001</v>
      </c>
      <c r="N88" s="5">
        <v>-9.909728429198239E-3</v>
      </c>
      <c r="O88" s="5">
        <v>-5.5340484346420027E-3</v>
      </c>
      <c r="P88" s="5">
        <v>-5.2877894206884157E-3</v>
      </c>
      <c r="Q88" s="5">
        <v>-7.4654725378398012E-4</v>
      </c>
      <c r="R88" s="5">
        <v>-1.8433184942892034E-3</v>
      </c>
      <c r="S88" s="5">
        <v>1.0106115059231868E-3</v>
      </c>
      <c r="T88" s="5">
        <v>1.2867164233703043E-2</v>
      </c>
      <c r="U88" s="5">
        <v>-7.848773792071384E-3</v>
      </c>
      <c r="V88" s="5">
        <v>-5.8997221271885891E-3</v>
      </c>
      <c r="W88" s="5">
        <v>-2.305866575097415E-2</v>
      </c>
      <c r="X88" s="5">
        <v>-1.2585118719243837E-3</v>
      </c>
      <c r="AZ88" s="3" t="s">
        <v>94</v>
      </c>
      <c r="BA88" s="3">
        <v>83</v>
      </c>
      <c r="BB88" s="3">
        <v>1.1438041460207899</v>
      </c>
      <c r="BC88" s="3">
        <v>1.1232383406799351</v>
      </c>
      <c r="BD88" s="3">
        <v>0.96139025495390906</v>
      </c>
      <c r="BE88" s="3">
        <v>0.45101290296236934</v>
      </c>
      <c r="BG88" s="3">
        <v>-4.1850222945896687E-3</v>
      </c>
      <c r="BH88" s="3">
        <v>-3.8681999555734009E-3</v>
      </c>
      <c r="BI88" s="3">
        <v>-2.7333675046074465E-3</v>
      </c>
      <c r="BJ88" s="3">
        <v>-1.9433615518338332E-4</v>
      </c>
    </row>
    <row r="89" spans="1:62" x14ac:dyDescent="0.2">
      <c r="A89" s="3" t="s">
        <v>97</v>
      </c>
      <c r="B89" s="3">
        <v>85.35</v>
      </c>
      <c r="C89" s="3">
        <v>90.1</v>
      </c>
      <c r="D89" s="3">
        <v>17.164000000000001</v>
      </c>
      <c r="E89" s="3">
        <v>66.95</v>
      </c>
      <c r="F89" s="3">
        <v>54.2</v>
      </c>
      <c r="G89" s="3">
        <v>198</v>
      </c>
      <c r="H89" s="3">
        <v>46.226999999999997</v>
      </c>
      <c r="I89" s="3">
        <v>139.6</v>
      </c>
      <c r="J89" s="3">
        <v>13.52</v>
      </c>
      <c r="K89" s="3">
        <v>98.6</v>
      </c>
      <c r="L89" s="3">
        <v>30119.560547000001</v>
      </c>
      <c r="N89" s="5">
        <v>-1.2378584232640044E-2</v>
      </c>
      <c r="O89" s="5">
        <v>-5.5648446334073398E-3</v>
      </c>
      <c r="P89" s="5">
        <v>-4.2621579629100736E-3</v>
      </c>
      <c r="Q89" s="5">
        <v>-5.2414945908383359E-3</v>
      </c>
      <c r="R89" s="5">
        <v>0</v>
      </c>
      <c r="S89" s="5">
        <v>5.0492300997007078E-4</v>
      </c>
      <c r="T89" s="5">
        <v>-1.7853719681594438E-2</v>
      </c>
      <c r="U89" s="5">
        <v>-2.0261185139821336E-2</v>
      </c>
      <c r="V89" s="5">
        <v>-1.6406035387109608E-2</v>
      </c>
      <c r="W89" s="5">
        <v>2.0263431452329783E-3</v>
      </c>
      <c r="X89" s="5">
        <v>-9.3434953953153155E-3</v>
      </c>
      <c r="AZ89" s="3" t="s">
        <v>95</v>
      </c>
      <c r="BA89" s="3">
        <v>84</v>
      </c>
      <c r="BB89" s="3">
        <v>1.1390273027388298</v>
      </c>
      <c r="BC89" s="3">
        <v>1.118901822846728</v>
      </c>
      <c r="BD89" s="3">
        <v>0.95876601021829</v>
      </c>
      <c r="BE89" s="3">
        <v>0.45092526336491656</v>
      </c>
      <c r="BG89" s="3">
        <v>6.9909376168636461E-4</v>
      </c>
      <c r="BH89" s="3">
        <v>1.0147080050110918E-3</v>
      </c>
      <c r="BI89" s="3">
        <v>-1.3577083231006079E-3</v>
      </c>
      <c r="BJ89" s="3">
        <v>-4.3084178024338504E-3</v>
      </c>
    </row>
    <row r="90" spans="1:62" x14ac:dyDescent="0.2">
      <c r="A90" s="3" t="s">
        <v>98</v>
      </c>
      <c r="B90" s="3">
        <v>84.3</v>
      </c>
      <c r="C90" s="3">
        <v>89.6</v>
      </c>
      <c r="D90" s="3">
        <v>17.091000000000001</v>
      </c>
      <c r="E90" s="3">
        <v>66.599999999999994</v>
      </c>
      <c r="F90" s="3">
        <v>54.2</v>
      </c>
      <c r="G90" s="3">
        <v>198.1</v>
      </c>
      <c r="H90" s="3">
        <v>45.408999999999999</v>
      </c>
      <c r="I90" s="3">
        <v>136.80000000000001</v>
      </c>
      <c r="J90" s="3">
        <v>13.3</v>
      </c>
      <c r="K90" s="3">
        <v>98.8</v>
      </c>
      <c r="L90" s="3">
        <v>29839.449218999998</v>
      </c>
      <c r="N90" s="5">
        <v>-5.9329577533873135E-4</v>
      </c>
      <c r="O90" s="5">
        <v>3.3426214966905121E-3</v>
      </c>
      <c r="P90" s="5">
        <v>6.357374653039205E-3</v>
      </c>
      <c r="Q90" s="5">
        <v>4.4943895878395423E-3</v>
      </c>
      <c r="R90" s="5">
        <v>9.2208397496840178E-4</v>
      </c>
      <c r="S90" s="5">
        <v>3.5273405179685469E-3</v>
      </c>
      <c r="T90" s="5">
        <v>0</v>
      </c>
      <c r="U90" s="5">
        <v>-5.8651194523982042E-3</v>
      </c>
      <c r="V90" s="5">
        <v>8.9820963158273592E-3</v>
      </c>
      <c r="W90" s="5">
        <v>1.4070583896941713E-2</v>
      </c>
      <c r="X90" s="5">
        <v>2.3535233570122216E-3</v>
      </c>
      <c r="AZ90" s="3" t="s">
        <v>96</v>
      </c>
      <c r="BA90" s="3">
        <v>85</v>
      </c>
      <c r="BB90" s="3">
        <v>1.1398238680250339</v>
      </c>
      <c r="BC90" s="3">
        <v>1.1200377577068237</v>
      </c>
      <c r="BD90" s="3">
        <v>0.95746516890767575</v>
      </c>
      <c r="BE90" s="3">
        <v>0.44898666807066456</v>
      </c>
      <c r="BG90" s="3">
        <v>-4.5678327553444753E-3</v>
      </c>
      <c r="BH90" s="3">
        <v>-4.3844206324838431E-3</v>
      </c>
      <c r="BI90" s="3">
        <v>-3.4861898681461667E-3</v>
      </c>
      <c r="BJ90" s="3">
        <v>-2.8047092977450117E-3</v>
      </c>
    </row>
    <row r="91" spans="1:62" x14ac:dyDescent="0.2">
      <c r="A91" s="3" t="s">
        <v>99</v>
      </c>
      <c r="B91" s="3">
        <v>84.25</v>
      </c>
      <c r="C91" s="3">
        <v>89.9</v>
      </c>
      <c r="D91" s="3">
        <v>17.2</v>
      </c>
      <c r="E91" s="3">
        <v>66.900000000000006</v>
      </c>
      <c r="F91" s="3">
        <v>54.25</v>
      </c>
      <c r="G91" s="3">
        <v>198.8</v>
      </c>
      <c r="H91" s="3">
        <v>45.408999999999999</v>
      </c>
      <c r="I91" s="3">
        <v>136</v>
      </c>
      <c r="J91" s="3">
        <v>13.42</v>
      </c>
      <c r="K91" s="3">
        <v>100.2</v>
      </c>
      <c r="L91" s="3">
        <v>29909.759765999999</v>
      </c>
      <c r="N91" s="5">
        <v>-5.9523985272953439E-3</v>
      </c>
      <c r="O91" s="5">
        <v>-4.4593161967654282E-3</v>
      </c>
      <c r="P91" s="5">
        <v>-1.1696039763191113E-2</v>
      </c>
      <c r="Q91" s="5">
        <v>2.9850768434531716E-3</v>
      </c>
      <c r="R91" s="5">
        <v>-9.2208397496840178E-4</v>
      </c>
      <c r="S91" s="5">
        <v>9.0135813053615621E-3</v>
      </c>
      <c r="T91" s="5">
        <v>-8.0483331828284932E-3</v>
      </c>
      <c r="U91" s="5">
        <v>-9.6048023197337073E-3</v>
      </c>
      <c r="V91" s="5">
        <v>-5.9790910560577615E-3</v>
      </c>
      <c r="W91" s="5">
        <v>-1.3058950022097449E-2</v>
      </c>
      <c r="X91" s="5">
        <v>-3.3167567646881224E-3</v>
      </c>
      <c r="AZ91" s="3" t="s">
        <v>97</v>
      </c>
      <c r="BA91" s="3">
        <v>86</v>
      </c>
      <c r="BB91" s="3">
        <v>1.1346292164074903</v>
      </c>
      <c r="BC91" s="3">
        <v>1.1151377906604765</v>
      </c>
      <c r="BD91" s="3">
        <v>0.95413307506734157</v>
      </c>
      <c r="BE91" s="3">
        <v>0.44772915529139606</v>
      </c>
      <c r="BG91" s="3">
        <v>-8.3632364444585078E-3</v>
      </c>
      <c r="BH91" s="3">
        <v>-7.1831061108662136E-3</v>
      </c>
      <c r="BI91" s="3">
        <v>-5.0578438813637522E-3</v>
      </c>
      <c r="BJ91" s="3">
        <v>9.455506159653515E-4</v>
      </c>
    </row>
    <row r="92" spans="1:62" x14ac:dyDescent="0.2">
      <c r="A92" s="3" t="s">
        <v>100</v>
      </c>
      <c r="B92" s="3">
        <v>83.75</v>
      </c>
      <c r="C92" s="3">
        <v>89.5</v>
      </c>
      <c r="D92" s="3">
        <v>17</v>
      </c>
      <c r="E92" s="3">
        <v>67.099999999999994</v>
      </c>
      <c r="F92" s="3">
        <v>54.2</v>
      </c>
      <c r="G92" s="3">
        <v>200.6</v>
      </c>
      <c r="H92" s="3">
        <v>45.045000000000002</v>
      </c>
      <c r="I92" s="3">
        <v>134.69999999999999</v>
      </c>
      <c r="J92" s="3">
        <v>13.34</v>
      </c>
      <c r="K92" s="3">
        <v>98.9</v>
      </c>
      <c r="L92" s="3">
        <v>29810.720702999999</v>
      </c>
      <c r="N92" s="5">
        <v>-1.7926506145196086E-3</v>
      </c>
      <c r="O92" s="5">
        <v>-3.3575856948457883E-3</v>
      </c>
      <c r="P92" s="5">
        <v>-2.1198924438721178E-3</v>
      </c>
      <c r="Q92" s="5">
        <v>7.4239390712822484E-3</v>
      </c>
      <c r="R92" s="5">
        <v>9.2208397496840178E-4</v>
      </c>
      <c r="S92" s="5">
        <v>1.7787030202729426E-2</v>
      </c>
      <c r="T92" s="5">
        <v>4.0322635279386176E-3</v>
      </c>
      <c r="U92" s="5">
        <v>-6.7039357221903018E-3</v>
      </c>
      <c r="V92" s="5">
        <v>2.9940142126045899E-3</v>
      </c>
      <c r="W92" s="5">
        <v>1.0106115059231868E-3</v>
      </c>
      <c r="X92" s="5">
        <v>1.0648926037188033E-2</v>
      </c>
      <c r="AZ92" s="3" t="s">
        <v>98</v>
      </c>
      <c r="BA92" s="3">
        <v>87</v>
      </c>
      <c r="BB92" s="3">
        <v>1.1251796137030481</v>
      </c>
      <c r="BC92" s="3">
        <v>1.1071563377118814</v>
      </c>
      <c r="BD92" s="3">
        <v>0.94931940259539171</v>
      </c>
      <c r="BE92" s="3">
        <v>0.44815270608276647</v>
      </c>
      <c r="BG92" s="3">
        <v>3.5651628304747551E-3</v>
      </c>
      <c r="BH92" s="3">
        <v>3.4791198945330337E-3</v>
      </c>
      <c r="BI92" s="3">
        <v>2.1896762428467859E-3</v>
      </c>
      <c r="BJ92" s="3">
        <v>2.5334273352251024E-4</v>
      </c>
    </row>
    <row r="93" spans="1:62" x14ac:dyDescent="0.2">
      <c r="A93" s="3" t="s">
        <v>101</v>
      </c>
      <c r="B93" s="3">
        <v>83.6</v>
      </c>
      <c r="C93" s="3">
        <v>89.2</v>
      </c>
      <c r="D93" s="3">
        <v>16.963999999999999</v>
      </c>
      <c r="E93" s="3">
        <v>67.599999999999994</v>
      </c>
      <c r="F93" s="3">
        <v>54.25</v>
      </c>
      <c r="G93" s="3">
        <v>204.2</v>
      </c>
      <c r="H93" s="3">
        <v>45.226999999999997</v>
      </c>
      <c r="I93" s="3">
        <v>133.80000000000001</v>
      </c>
      <c r="J93" s="3">
        <v>13.38</v>
      </c>
      <c r="K93" s="3">
        <v>99</v>
      </c>
      <c r="L93" s="3">
        <v>30129.869140999999</v>
      </c>
      <c r="N93" s="5">
        <v>-4.7961722634930481E-3</v>
      </c>
      <c r="O93" s="5">
        <v>-2.8066254741192509E-3</v>
      </c>
      <c r="P93" s="5">
        <v>-5.3787403961433888E-3</v>
      </c>
      <c r="Q93" s="5">
        <v>3.6914032319597112E-3</v>
      </c>
      <c r="R93" s="5">
        <v>0</v>
      </c>
      <c r="S93" s="5">
        <v>-6.8796340135364176E-3</v>
      </c>
      <c r="T93" s="5">
        <v>0</v>
      </c>
      <c r="U93" s="5">
        <v>0</v>
      </c>
      <c r="V93" s="5">
        <v>2.9850768434531716E-3</v>
      </c>
      <c r="W93" s="5">
        <v>1.5140048312156651E-3</v>
      </c>
      <c r="X93" s="5">
        <v>-1.7225099560747026E-4</v>
      </c>
      <c r="AZ93" s="3" t="s">
        <v>99</v>
      </c>
      <c r="BA93" s="3">
        <v>88</v>
      </c>
      <c r="BB93" s="3">
        <v>1.1291982214784619</v>
      </c>
      <c r="BC93" s="3">
        <v>1.1110149757928625</v>
      </c>
      <c r="BD93" s="3">
        <v>0.95140038224250634</v>
      </c>
      <c r="BE93" s="3">
        <v>0.4482662566973652</v>
      </c>
      <c r="BG93" s="3">
        <v>-5.0545916672822822E-3</v>
      </c>
      <c r="BH93" s="3">
        <v>-4.5527592339964645E-3</v>
      </c>
      <c r="BI93" s="3">
        <v>-5.4924506034344928E-3</v>
      </c>
      <c r="BJ93" s="3">
        <v>-5.9727750643734367E-3</v>
      </c>
    </row>
    <row r="94" spans="1:62" x14ac:dyDescent="0.2">
      <c r="A94" s="3" t="s">
        <v>102</v>
      </c>
      <c r="B94" s="3">
        <v>83.2</v>
      </c>
      <c r="C94" s="3">
        <v>88.95</v>
      </c>
      <c r="D94" s="3">
        <v>16.873000000000001</v>
      </c>
      <c r="E94" s="3">
        <v>67.849999999999994</v>
      </c>
      <c r="F94" s="3">
        <v>54.25</v>
      </c>
      <c r="G94" s="3">
        <v>202.8</v>
      </c>
      <c r="H94" s="3">
        <v>45.226999999999997</v>
      </c>
      <c r="I94" s="3">
        <v>133.80000000000001</v>
      </c>
      <c r="J94" s="3">
        <v>13.42</v>
      </c>
      <c r="K94" s="3">
        <v>99.15</v>
      </c>
      <c r="L94" s="3">
        <v>30124.679688</v>
      </c>
      <c r="N94" s="5">
        <v>-4.8192864359490883E-3</v>
      </c>
      <c r="O94" s="5">
        <v>-2.8145247963102804E-3</v>
      </c>
      <c r="P94" s="5">
        <v>-5.407827768323159E-3</v>
      </c>
      <c r="Q94" s="5">
        <v>-3.6914032319597112E-3</v>
      </c>
      <c r="R94" s="5">
        <v>4.5977092486295668E-3</v>
      </c>
      <c r="S94" s="5">
        <v>8.8365818004980667E-3</v>
      </c>
      <c r="T94" s="5">
        <v>2.0100509280238654E-3</v>
      </c>
      <c r="U94" s="5">
        <v>-2.2446698538240994E-3</v>
      </c>
      <c r="V94" s="5">
        <v>-1.0486987495248012E-2</v>
      </c>
      <c r="W94" s="5">
        <v>-4.5489085263694662E-3</v>
      </c>
      <c r="X94" s="5">
        <v>-5.3728023219203891E-3</v>
      </c>
      <c r="AZ94" s="3" t="s">
        <v>100</v>
      </c>
      <c r="BA94" s="3">
        <v>89</v>
      </c>
      <c r="BB94" s="3">
        <v>1.1235049861686637</v>
      </c>
      <c r="BC94" s="3">
        <v>1.1059682889948197</v>
      </c>
      <c r="BD94" s="3">
        <v>0.94618918685608333</v>
      </c>
      <c r="BE94" s="3">
        <v>0.44559684301662417</v>
      </c>
      <c r="BG94" s="3">
        <v>1.9914176428114105E-3</v>
      </c>
      <c r="BH94" s="3">
        <v>1.9697382000155167E-3</v>
      </c>
      <c r="BI94" s="3">
        <v>-1.5500114057234449E-3</v>
      </c>
      <c r="BJ94" s="3">
        <v>-7.1719049416970604E-3</v>
      </c>
    </row>
    <row r="95" spans="1:62" x14ac:dyDescent="0.2">
      <c r="A95" s="3" t="s">
        <v>103</v>
      </c>
      <c r="B95" s="3">
        <v>82.8</v>
      </c>
      <c r="C95" s="3">
        <v>88.7</v>
      </c>
      <c r="D95" s="3">
        <v>16.782</v>
      </c>
      <c r="E95" s="3">
        <v>67.599999999999994</v>
      </c>
      <c r="F95" s="3">
        <v>54.5</v>
      </c>
      <c r="G95" s="3">
        <v>204.6</v>
      </c>
      <c r="H95" s="3">
        <v>45.317999999999998</v>
      </c>
      <c r="I95" s="3">
        <v>133.5</v>
      </c>
      <c r="J95" s="3">
        <v>13.28</v>
      </c>
      <c r="K95" s="3">
        <v>98.7</v>
      </c>
      <c r="L95" s="3">
        <v>29963.259765999999</v>
      </c>
      <c r="N95" s="5">
        <v>-4.8426244757875381E-3</v>
      </c>
      <c r="O95" s="5">
        <v>-2.8224687097395673E-3</v>
      </c>
      <c r="P95" s="5">
        <v>1.2906460608338666E-2</v>
      </c>
      <c r="Q95" s="5">
        <v>1.4781968693107217E-3</v>
      </c>
      <c r="R95" s="5">
        <v>9.1701060988125249E-4</v>
      </c>
      <c r="S95" s="5">
        <v>8.7591800898811911E-3</v>
      </c>
      <c r="T95" s="5">
        <v>1.0145343937182361E-3</v>
      </c>
      <c r="U95" s="5">
        <v>-5.2572407979702973E-3</v>
      </c>
      <c r="V95" s="5">
        <v>-7.558614973926403E-3</v>
      </c>
      <c r="W95" s="5">
        <v>8.0726977251108778E-3</v>
      </c>
      <c r="X95" s="5">
        <v>-6.5186520181725882E-7</v>
      </c>
      <c r="AZ95" s="3" t="s">
        <v>101</v>
      </c>
      <c r="BA95" s="3">
        <v>90</v>
      </c>
      <c r="BB95" s="3">
        <v>1.1257445830661548</v>
      </c>
      <c r="BC95" s="3">
        <v>1.1081489038968531</v>
      </c>
      <c r="BD95" s="3">
        <v>0.94472371886393869</v>
      </c>
      <c r="BE95" s="3">
        <v>0.44241249737751487</v>
      </c>
      <c r="BG95" s="3">
        <v>-1.1208493251537721E-3</v>
      </c>
      <c r="BH95" s="3">
        <v>-1.2955634757000761E-3</v>
      </c>
      <c r="BI95" s="3">
        <v>-2.8085462414835644E-3</v>
      </c>
      <c r="BJ95" s="3">
        <v>-5.1434036790170001E-3</v>
      </c>
    </row>
    <row r="96" spans="1:62" x14ac:dyDescent="0.2">
      <c r="A96" s="3" t="s">
        <v>104</v>
      </c>
      <c r="B96" s="3">
        <v>82.4</v>
      </c>
      <c r="C96" s="3">
        <v>88.45</v>
      </c>
      <c r="D96" s="3">
        <v>17</v>
      </c>
      <c r="E96" s="3">
        <v>67.7</v>
      </c>
      <c r="F96" s="3">
        <v>54.55</v>
      </c>
      <c r="G96" s="3">
        <v>206.4</v>
      </c>
      <c r="H96" s="3">
        <v>45.363999999999997</v>
      </c>
      <c r="I96" s="3">
        <v>132.80000000000001</v>
      </c>
      <c r="J96" s="3">
        <v>13.18</v>
      </c>
      <c r="K96" s="3">
        <v>99.5</v>
      </c>
      <c r="L96" s="3">
        <v>29963.240234000001</v>
      </c>
      <c r="N96" s="5">
        <v>-3.6474204570433599E-3</v>
      </c>
      <c r="O96" s="5">
        <v>-5.6545096219640101E-4</v>
      </c>
      <c r="P96" s="5">
        <v>-4.3033638492562254E-3</v>
      </c>
      <c r="Q96" s="5">
        <v>-7.4129323891254373E-3</v>
      </c>
      <c r="R96" s="5">
        <v>9.1617047177949829E-4</v>
      </c>
      <c r="S96" s="5">
        <v>-3.8835000263972574E-3</v>
      </c>
      <c r="T96" s="5">
        <v>-1.0080618857078782E-2</v>
      </c>
      <c r="U96" s="5">
        <v>3.0075210639548544E-3</v>
      </c>
      <c r="V96" s="5">
        <v>-6.0882988672554816E-3</v>
      </c>
      <c r="W96" s="5">
        <v>-8.5794116959228006E-3</v>
      </c>
      <c r="X96" s="5">
        <v>-5.2672902260315624E-3</v>
      </c>
      <c r="AZ96" s="3" t="s">
        <v>102</v>
      </c>
      <c r="BA96" s="3">
        <v>91</v>
      </c>
      <c r="BB96" s="3">
        <v>1.1244834998840716</v>
      </c>
      <c r="BC96" s="3">
        <v>1.1067141562553313</v>
      </c>
      <c r="BD96" s="3">
        <v>0.94207414108657761</v>
      </c>
      <c r="BE96" s="3">
        <v>0.44014283321395098</v>
      </c>
      <c r="BG96" s="3">
        <v>-1.9491177473788951E-3</v>
      </c>
      <c r="BH96" s="3">
        <v>-1.5629733549810537E-3</v>
      </c>
      <c r="BI96" s="3">
        <v>-5.1151946472179077E-4</v>
      </c>
      <c r="BJ96" s="3">
        <v>1.7243327905311912E-3</v>
      </c>
    </row>
    <row r="97" spans="1:62" x14ac:dyDescent="0.2">
      <c r="A97" s="3" t="s">
        <v>105</v>
      </c>
      <c r="B97" s="3">
        <v>82.1</v>
      </c>
      <c r="C97" s="3">
        <v>88.4</v>
      </c>
      <c r="D97" s="3">
        <v>16.927</v>
      </c>
      <c r="E97" s="3">
        <v>67.2</v>
      </c>
      <c r="F97" s="3">
        <v>54.6</v>
      </c>
      <c r="G97" s="3">
        <v>205.6</v>
      </c>
      <c r="H97" s="3">
        <v>44.908999999999999</v>
      </c>
      <c r="I97" s="3">
        <v>133.19999999999999</v>
      </c>
      <c r="J97" s="3">
        <v>13.1</v>
      </c>
      <c r="K97" s="3">
        <v>98.65</v>
      </c>
      <c r="L97" s="3">
        <v>29805.830077999999</v>
      </c>
      <c r="N97" s="5">
        <v>2.4330912246410819E-3</v>
      </c>
      <c r="O97" s="5">
        <v>-2.8320607997187608E-3</v>
      </c>
      <c r="P97" s="5">
        <v>0</v>
      </c>
      <c r="Q97" s="5">
        <v>-4.4742803949207044E-3</v>
      </c>
      <c r="R97" s="5">
        <v>2.743485945750912E-3</v>
      </c>
      <c r="S97" s="5">
        <v>-6.8326278504455829E-3</v>
      </c>
      <c r="T97" s="5">
        <v>-4.0608739816336836E-3</v>
      </c>
      <c r="U97" s="5">
        <v>1.4903405502574962E-2</v>
      </c>
      <c r="V97" s="5">
        <v>0</v>
      </c>
      <c r="W97" s="5">
        <v>1.3091828477785228E-2</v>
      </c>
      <c r="X97" s="5">
        <v>-8.6270125079987992E-3</v>
      </c>
      <c r="AZ97" s="3" t="s">
        <v>103</v>
      </c>
      <c r="BA97" s="3">
        <v>92</v>
      </c>
      <c r="BB97" s="3">
        <v>1.122293883740862</v>
      </c>
      <c r="BC97" s="3">
        <v>1.1049857426016272</v>
      </c>
      <c r="BD97" s="3">
        <v>0.94159237505305715</v>
      </c>
      <c r="BE97" s="3">
        <v>0.44090244065357392</v>
      </c>
      <c r="BG97" s="3">
        <v>1.2944460213560327E-3</v>
      </c>
      <c r="BH97" s="3">
        <v>1.7987519124075396E-3</v>
      </c>
      <c r="BI97" s="3">
        <v>1.9260029157839378E-3</v>
      </c>
      <c r="BJ97" s="3">
        <v>2.6484354260595255E-3</v>
      </c>
    </row>
    <row r="98" spans="1:62" x14ac:dyDescent="0.2">
      <c r="A98" s="3" t="s">
        <v>106</v>
      </c>
      <c r="B98" s="3">
        <v>82.3</v>
      </c>
      <c r="C98" s="3">
        <v>88.15</v>
      </c>
      <c r="D98" s="3">
        <v>16.927</v>
      </c>
      <c r="E98" s="3">
        <v>66.900000000000006</v>
      </c>
      <c r="F98" s="3">
        <v>54.75</v>
      </c>
      <c r="G98" s="3">
        <v>204.2</v>
      </c>
      <c r="H98" s="3">
        <v>44.726999999999997</v>
      </c>
      <c r="I98" s="3">
        <v>135.19999999999999</v>
      </c>
      <c r="J98" s="3">
        <v>13.1</v>
      </c>
      <c r="K98" s="3">
        <v>99.95</v>
      </c>
      <c r="L98" s="3">
        <v>29549.800781000002</v>
      </c>
      <c r="N98" s="5">
        <v>-3.651860418770525E-3</v>
      </c>
      <c r="O98" s="5">
        <v>1.0719425632884416E-2</v>
      </c>
      <c r="P98" s="5">
        <v>4.3033638492562254E-3</v>
      </c>
      <c r="Q98" s="5">
        <v>1.4936522567827737E-3</v>
      </c>
      <c r="R98" s="5">
        <v>3.6463121530205811E-3</v>
      </c>
      <c r="S98" s="5">
        <v>7.8049176693841815E-3</v>
      </c>
      <c r="T98" s="5">
        <v>-2.0532654248343718E-2</v>
      </c>
      <c r="U98" s="5">
        <v>5.1641575482346269E-3</v>
      </c>
      <c r="V98" s="5">
        <v>-3.0581063588206447E-3</v>
      </c>
      <c r="W98" s="5">
        <v>6.4821967192294494E-3</v>
      </c>
      <c r="X98" s="5">
        <v>1.866593790742499E-3</v>
      </c>
      <c r="AZ98" s="3" t="s">
        <v>104</v>
      </c>
      <c r="BA98" s="3">
        <v>93</v>
      </c>
      <c r="BB98" s="3">
        <v>1.1237475732517821</v>
      </c>
      <c r="BC98" s="3">
        <v>1.1069751264869601</v>
      </c>
      <c r="BD98" s="3">
        <v>0.94340763224707413</v>
      </c>
      <c r="BE98" s="3">
        <v>0.4420716899540249</v>
      </c>
      <c r="BG98" s="3">
        <v>-4.1545947844406905E-3</v>
      </c>
      <c r="BH98" s="3">
        <v>-3.8786550247229684E-3</v>
      </c>
      <c r="BI98" s="3">
        <v>-8.2342076537046671E-4</v>
      </c>
      <c r="BJ98" s="3">
        <v>4.4095733702282924E-3</v>
      </c>
    </row>
    <row r="99" spans="1:62" x14ac:dyDescent="0.2">
      <c r="A99" s="3" t="s">
        <v>107</v>
      </c>
      <c r="B99" s="3">
        <v>82</v>
      </c>
      <c r="C99" s="3">
        <v>89.1</v>
      </c>
      <c r="D99" s="3">
        <v>17</v>
      </c>
      <c r="E99" s="3">
        <v>67</v>
      </c>
      <c r="F99" s="3">
        <v>54.95</v>
      </c>
      <c r="G99" s="3">
        <v>205.8</v>
      </c>
      <c r="H99" s="3">
        <v>43.817999999999998</v>
      </c>
      <c r="I99" s="3">
        <v>135.9</v>
      </c>
      <c r="J99" s="3">
        <v>13.06</v>
      </c>
      <c r="K99" s="3">
        <v>100.6</v>
      </c>
      <c r="L99" s="3">
        <v>29605.009765999999</v>
      </c>
      <c r="N99" s="5">
        <v>1.2723588795050311E-2</v>
      </c>
      <c r="O99" s="5">
        <v>8.9386070008110607E-3</v>
      </c>
      <c r="P99" s="5">
        <v>1.0648980159648325E-2</v>
      </c>
      <c r="Q99" s="5">
        <v>6.6939632627995849E-3</v>
      </c>
      <c r="R99" s="5">
        <v>9.0950438284043145E-4</v>
      </c>
      <c r="S99" s="5">
        <v>-2.9197101033346939E-3</v>
      </c>
      <c r="T99" s="5">
        <v>1.033031856348865E-2</v>
      </c>
      <c r="U99" s="5">
        <v>2.2050725583131481E-3</v>
      </c>
      <c r="V99" s="5">
        <v>3.0581063588206447E-3</v>
      </c>
      <c r="W99" s="5">
        <v>-3.9840690148746916E-3</v>
      </c>
      <c r="X99" s="5">
        <v>9.674405690415E-3</v>
      </c>
      <c r="AZ99" s="3" t="s">
        <v>105</v>
      </c>
      <c r="BA99" s="3">
        <v>94</v>
      </c>
      <c r="BB99" s="3">
        <v>1.1190885423391803</v>
      </c>
      <c r="BC99" s="3">
        <v>1.1026898677428203</v>
      </c>
      <c r="BD99" s="3">
        <v>0.94263113055015746</v>
      </c>
      <c r="BE99" s="3">
        <v>0.44402534172557029</v>
      </c>
      <c r="BG99" s="3">
        <v>1.6184312486618863E-3</v>
      </c>
      <c r="BH99" s="3">
        <v>1.1266129678342562E-3</v>
      </c>
      <c r="BI99" s="3">
        <v>6.9383935706582994E-4</v>
      </c>
      <c r="BJ99" s="3">
        <v>-2.084484034398093E-4</v>
      </c>
    </row>
    <row r="100" spans="1:62" x14ac:dyDescent="0.2">
      <c r="A100" s="3" t="s">
        <v>108</v>
      </c>
      <c r="B100" s="3">
        <v>83.05</v>
      </c>
      <c r="C100" s="3">
        <v>89.9</v>
      </c>
      <c r="D100" s="3">
        <v>17.181999999999999</v>
      </c>
      <c r="E100" s="3">
        <v>67.45</v>
      </c>
      <c r="F100" s="3">
        <v>55</v>
      </c>
      <c r="G100" s="3">
        <v>205.2</v>
      </c>
      <c r="H100" s="3">
        <v>44.273000000000003</v>
      </c>
      <c r="I100" s="3">
        <v>136.19999999999999</v>
      </c>
      <c r="J100" s="3">
        <v>13.1</v>
      </c>
      <c r="K100" s="3">
        <v>100.2</v>
      </c>
      <c r="L100" s="3">
        <v>29892.810547000001</v>
      </c>
      <c r="N100" s="5">
        <v>-7.8573991438775082E-3</v>
      </c>
      <c r="O100" s="5">
        <v>-1.0623527365730467E-2</v>
      </c>
      <c r="P100" s="5">
        <v>-9.5907167884989875E-3</v>
      </c>
      <c r="Q100" s="5">
        <v>3.6995972644637831E-3</v>
      </c>
      <c r="R100" s="5">
        <v>-5.4694758045359393E-3</v>
      </c>
      <c r="S100" s="5">
        <v>3.8910554929669772E-3</v>
      </c>
      <c r="T100" s="5">
        <v>-8.2556999708320866E-3</v>
      </c>
      <c r="U100" s="5">
        <v>-5.8910332372370533E-3</v>
      </c>
      <c r="V100" s="5">
        <v>-9.2025189311617517E-3</v>
      </c>
      <c r="W100" s="5">
        <v>-9.0226175996370728E-3</v>
      </c>
      <c r="X100" s="5">
        <v>-6.5009435655234427E-3</v>
      </c>
      <c r="AZ100" s="3" t="s">
        <v>106</v>
      </c>
      <c r="BA100" s="3">
        <v>95</v>
      </c>
      <c r="BB100" s="3">
        <v>1.120901176622449</v>
      </c>
      <c r="BC100" s="3">
        <v>1.1039328725084885</v>
      </c>
      <c r="BD100" s="3">
        <v>0.94328539207767992</v>
      </c>
      <c r="BE100" s="3">
        <v>0.44393279499794469</v>
      </c>
      <c r="BG100" s="3">
        <v>1.0415079009472444E-3</v>
      </c>
      <c r="BH100" s="3">
        <v>1.7379946292508941E-3</v>
      </c>
      <c r="BI100" s="3">
        <v>4.1488652683000019E-3</v>
      </c>
      <c r="BJ100" s="3">
        <v>9.1448056783903775E-3</v>
      </c>
    </row>
    <row r="101" spans="1:62" x14ac:dyDescent="0.2">
      <c r="A101" s="3" t="s">
        <v>109</v>
      </c>
      <c r="B101" s="3">
        <v>82.4</v>
      </c>
      <c r="C101" s="3">
        <v>88.95</v>
      </c>
      <c r="D101" s="3">
        <v>17.018000000000001</v>
      </c>
      <c r="E101" s="3">
        <v>67.7</v>
      </c>
      <c r="F101" s="3">
        <v>54.7</v>
      </c>
      <c r="G101" s="3">
        <v>206</v>
      </c>
      <c r="H101" s="3">
        <v>43.908999999999999</v>
      </c>
      <c r="I101" s="3">
        <v>135.4</v>
      </c>
      <c r="J101" s="3">
        <v>12.98</v>
      </c>
      <c r="K101" s="3">
        <v>99.3</v>
      </c>
      <c r="L101" s="3">
        <v>29699.109375</v>
      </c>
      <c r="N101" s="5">
        <v>3.6341651142191012E-3</v>
      </c>
      <c r="O101" s="5">
        <v>-3.9425565008093244E-3</v>
      </c>
      <c r="P101" s="5">
        <v>4.2804017390025706E-3</v>
      </c>
      <c r="Q101" s="5">
        <v>8.0912541468398658E-3</v>
      </c>
      <c r="R101" s="5">
        <v>3.649639087549339E-3</v>
      </c>
      <c r="S101" s="5">
        <v>-7.7973104600319587E-3</v>
      </c>
      <c r="T101" s="5">
        <v>-4.1535501769809358E-3</v>
      </c>
      <c r="U101" s="5">
        <v>3.6859606789239052E-3</v>
      </c>
      <c r="V101" s="5">
        <v>9.2025189311617517E-3</v>
      </c>
      <c r="W101" s="5">
        <v>1.5094342488541912E-3</v>
      </c>
      <c r="X101" s="5">
        <v>8.2179134003315113E-3</v>
      </c>
      <c r="AZ101" s="3" t="s">
        <v>107</v>
      </c>
      <c r="BA101" s="3">
        <v>96</v>
      </c>
      <c r="BB101" s="3">
        <v>1.1220692122076432</v>
      </c>
      <c r="BC101" s="3">
        <v>1.1058531701620911</v>
      </c>
      <c r="BD101" s="3">
        <v>0.94720708574291779</v>
      </c>
      <c r="BE101" s="3">
        <v>0.44801109334396028</v>
      </c>
      <c r="BG101" s="3">
        <v>4.7535842160305736E-3</v>
      </c>
      <c r="BH101" s="3">
        <v>5.0251711677516686E-3</v>
      </c>
      <c r="BI101" s="3">
        <v>6.574501348958324E-3</v>
      </c>
      <c r="BJ101" s="3">
        <v>9.0712560367756101E-3</v>
      </c>
    </row>
    <row r="102" spans="1:62" x14ac:dyDescent="0.2">
      <c r="A102" s="3" t="s">
        <v>110</v>
      </c>
      <c r="B102" s="3">
        <v>82.7</v>
      </c>
      <c r="C102" s="3">
        <v>88.6</v>
      </c>
      <c r="D102" s="3">
        <v>17.091000000000001</v>
      </c>
      <c r="E102" s="3">
        <v>68.25</v>
      </c>
      <c r="F102" s="3">
        <v>54.9</v>
      </c>
      <c r="G102" s="3">
        <v>204.4</v>
      </c>
      <c r="H102" s="3">
        <v>43.726999999999997</v>
      </c>
      <c r="I102" s="3">
        <v>135.9</v>
      </c>
      <c r="J102" s="3">
        <v>13.1</v>
      </c>
      <c r="K102" s="3">
        <v>99.45</v>
      </c>
      <c r="L102" s="3">
        <v>29944.179688</v>
      </c>
      <c r="N102" s="5">
        <v>-6.0642999675106779E-3</v>
      </c>
      <c r="O102" s="5">
        <v>9.5479523436932112E-3</v>
      </c>
      <c r="P102" s="5">
        <v>7.403339069394832E-3</v>
      </c>
      <c r="Q102" s="5">
        <v>2.1022883701409256E-2</v>
      </c>
      <c r="R102" s="5">
        <v>3.636367643384375E-3</v>
      </c>
      <c r="S102" s="5">
        <v>3.9333607578297958E-2</v>
      </c>
      <c r="T102" s="5">
        <v>3.1281778200438204E-3</v>
      </c>
      <c r="U102" s="5">
        <v>8.791265411169924E-3</v>
      </c>
      <c r="V102" s="5">
        <v>1.0630320301756591E-2</v>
      </c>
      <c r="W102" s="5">
        <v>-3.0211503341757151E-3</v>
      </c>
      <c r="X102" s="5">
        <v>4.5770815865111558E-3</v>
      </c>
      <c r="AZ102" s="3" t="s">
        <v>108</v>
      </c>
      <c r="BA102" s="3">
        <v>97</v>
      </c>
      <c r="BB102" s="3">
        <v>1.1274157602695289</v>
      </c>
      <c r="BC102" s="3">
        <v>1.1114242577393088</v>
      </c>
      <c r="BD102" s="3">
        <v>0.95345501601381055</v>
      </c>
      <c r="BE102" s="3">
        <v>0.45209360544024735</v>
      </c>
      <c r="BG102" s="3">
        <v>-5.9456857177335593E-3</v>
      </c>
      <c r="BH102" s="3">
        <v>-5.697542168595332E-3</v>
      </c>
      <c r="BI102" s="3">
        <v>-8.7447757699056078E-3</v>
      </c>
      <c r="BJ102" s="3">
        <v>-1.2891436882413898E-2</v>
      </c>
    </row>
    <row r="103" spans="1:62" x14ac:dyDescent="0.2">
      <c r="A103" s="3" t="s">
        <v>111</v>
      </c>
      <c r="B103" s="3">
        <v>82.2</v>
      </c>
      <c r="C103" s="3">
        <v>89.45</v>
      </c>
      <c r="D103" s="3">
        <v>17.218</v>
      </c>
      <c r="E103" s="3">
        <v>69.7</v>
      </c>
      <c r="F103" s="3">
        <v>55.1</v>
      </c>
      <c r="G103" s="3">
        <v>212.6</v>
      </c>
      <c r="H103" s="3">
        <v>43.863999999999997</v>
      </c>
      <c r="I103" s="3">
        <v>137.1</v>
      </c>
      <c r="J103" s="3">
        <v>13.24</v>
      </c>
      <c r="K103" s="3">
        <v>99.15</v>
      </c>
      <c r="L103" s="3">
        <v>30081.550781000002</v>
      </c>
      <c r="N103" s="5">
        <v>-1.2240054894502528E-2</v>
      </c>
      <c r="O103" s="5">
        <v>-1.4072846941982853E-2</v>
      </c>
      <c r="P103" s="5">
        <v>-1.274200417954674E-2</v>
      </c>
      <c r="Q103" s="5">
        <v>-2.3223104611011181E-2</v>
      </c>
      <c r="R103" s="5">
        <v>-7.286006730933714E-3</v>
      </c>
      <c r="S103" s="5">
        <v>-3.1536297118265999E-2</v>
      </c>
      <c r="T103" s="5">
        <v>-2.413536317721654E-2</v>
      </c>
      <c r="U103" s="5">
        <v>-1.9890158479219266E-2</v>
      </c>
      <c r="V103" s="5">
        <v>-3.6927272592218507E-2</v>
      </c>
      <c r="W103" s="5">
        <v>-2.3986860683273825E-2</v>
      </c>
      <c r="X103" s="5">
        <v>-2.9407088149087102E-2</v>
      </c>
      <c r="AZ103" s="3" t="s">
        <v>109</v>
      </c>
      <c r="BA103" s="3">
        <v>98</v>
      </c>
      <c r="BB103" s="3">
        <v>1.120732388787673</v>
      </c>
      <c r="BC103" s="3">
        <v>1.1051098764718468</v>
      </c>
      <c r="BD103" s="3">
        <v>0.94515361553632427</v>
      </c>
      <c r="BE103" s="3">
        <v>0.44630287487571724</v>
      </c>
      <c r="BG103" s="3">
        <v>1.8256141185830216E-3</v>
      </c>
      <c r="BH103" s="3">
        <v>1.8707932004509709E-3</v>
      </c>
      <c r="BI103" s="3">
        <v>1.481996507287163E-3</v>
      </c>
      <c r="BJ103" s="3">
        <v>1.5945361743725517E-3</v>
      </c>
    </row>
    <row r="104" spans="1:62" x14ac:dyDescent="0.2">
      <c r="A104" s="3" t="s">
        <v>112</v>
      </c>
      <c r="B104" s="3">
        <v>81.2</v>
      </c>
      <c r="C104" s="3">
        <v>88.2</v>
      </c>
      <c r="D104" s="3">
        <v>17</v>
      </c>
      <c r="E104" s="3">
        <v>68.099999999999994</v>
      </c>
      <c r="F104" s="3">
        <v>54.7</v>
      </c>
      <c r="G104" s="3">
        <v>206</v>
      </c>
      <c r="H104" s="3">
        <v>42.817999999999998</v>
      </c>
      <c r="I104" s="3">
        <v>134.4</v>
      </c>
      <c r="J104" s="3">
        <v>12.76</v>
      </c>
      <c r="K104" s="3">
        <v>96.8</v>
      </c>
      <c r="L104" s="3">
        <v>29209.820313</v>
      </c>
      <c r="N104" s="5">
        <v>4.9140148024289232E-3</v>
      </c>
      <c r="O104" s="5">
        <v>1.6992357529597157E-3</v>
      </c>
      <c r="P104" s="5">
        <v>6.3912967862953529E-3</v>
      </c>
      <c r="Q104" s="5">
        <v>8.7719860728370236E-3</v>
      </c>
      <c r="R104" s="5">
        <v>9.0992438551147359E-3</v>
      </c>
      <c r="S104" s="5">
        <v>0</v>
      </c>
      <c r="T104" s="5">
        <v>1.3708217954853108E-2</v>
      </c>
      <c r="U104" s="5">
        <v>5.1948168771041026E-3</v>
      </c>
      <c r="V104" s="5">
        <v>1.5552413007485111E-2</v>
      </c>
      <c r="W104" s="5">
        <v>2.579315332488008E-3</v>
      </c>
      <c r="X104" s="5">
        <v>5.2310786963900568E-3</v>
      </c>
      <c r="AZ104" s="3" t="s">
        <v>110</v>
      </c>
      <c r="BA104" s="3">
        <v>99</v>
      </c>
      <c r="BB104" s="3">
        <v>1.1227802824227842</v>
      </c>
      <c r="BC104" s="3">
        <v>1.1071792435899259</v>
      </c>
      <c r="BD104" s="3">
        <v>0.94655536833321607</v>
      </c>
      <c r="BE104" s="3">
        <v>0.44701508862882666</v>
      </c>
      <c r="BG104" s="3">
        <v>9.5552537629324946E-3</v>
      </c>
      <c r="BH104" s="3">
        <v>9.6093063442800053E-3</v>
      </c>
      <c r="BI104" s="3">
        <v>5.053440865880672E-3</v>
      </c>
      <c r="BJ104" s="3">
        <v>-3.4292605458478009E-3</v>
      </c>
    </row>
    <row r="105" spans="1:62" x14ac:dyDescent="0.2">
      <c r="A105" s="3" t="s">
        <v>113</v>
      </c>
      <c r="B105" s="3">
        <v>81.599999999999994</v>
      </c>
      <c r="C105" s="3">
        <v>88.35</v>
      </c>
      <c r="D105" s="3">
        <v>17.109000000000002</v>
      </c>
      <c r="E105" s="3">
        <v>68.7</v>
      </c>
      <c r="F105" s="3">
        <v>55.2</v>
      </c>
      <c r="G105" s="3">
        <v>206</v>
      </c>
      <c r="H105" s="3">
        <v>43.408999999999999</v>
      </c>
      <c r="I105" s="3">
        <v>135.1</v>
      </c>
      <c r="J105" s="3">
        <v>12.96</v>
      </c>
      <c r="K105" s="3">
        <v>97.05</v>
      </c>
      <c r="L105" s="3">
        <v>29363.019531000002</v>
      </c>
      <c r="N105" s="5">
        <v>-1.2330612457478018E-2</v>
      </c>
      <c r="O105" s="5">
        <v>-2.2662899218257593E-3</v>
      </c>
      <c r="P105" s="5">
        <v>-6.3912967862953529E-3</v>
      </c>
      <c r="Q105" s="5">
        <v>-1.8362616574538748E-2</v>
      </c>
      <c r="R105" s="5">
        <v>-2.7210901143606137E-3</v>
      </c>
      <c r="S105" s="5">
        <v>2.908387895956821E-3</v>
      </c>
      <c r="T105" s="5">
        <v>-1.263448007713075E-2</v>
      </c>
      <c r="U105" s="5">
        <v>-4.4510459242594891E-3</v>
      </c>
      <c r="V105" s="5">
        <v>-9.3023926623136965E-3</v>
      </c>
      <c r="W105" s="5">
        <v>1.0298662084293753E-3</v>
      </c>
      <c r="X105" s="5">
        <v>-1.2329901720978143E-2</v>
      </c>
      <c r="AZ105" s="3" t="s">
        <v>111</v>
      </c>
      <c r="BA105" s="3">
        <v>100</v>
      </c>
      <c r="BB105" s="3">
        <v>1.1335601531220756</v>
      </c>
      <c r="BC105" s="3">
        <v>1.1178697500330803</v>
      </c>
      <c r="BD105" s="3">
        <v>0.95135083651555441</v>
      </c>
      <c r="BE105" s="3">
        <v>0.44548478283031956</v>
      </c>
      <c r="BG105" s="3">
        <v>-2.0999090195338604E-2</v>
      </c>
      <c r="BH105" s="3">
        <v>-1.9420218995508484E-2</v>
      </c>
      <c r="BI105" s="3">
        <v>-1.1264610687515733E-2</v>
      </c>
      <c r="BJ105" s="3">
        <v>4.7603348952063307E-3</v>
      </c>
    </row>
    <row r="106" spans="1:62" x14ac:dyDescent="0.2">
      <c r="A106" s="3" t="s">
        <v>114</v>
      </c>
      <c r="B106" s="3">
        <v>80.599999999999994</v>
      </c>
      <c r="C106" s="3">
        <v>88.15</v>
      </c>
      <c r="D106" s="3">
        <v>17</v>
      </c>
      <c r="E106" s="3">
        <v>67.45</v>
      </c>
      <c r="F106" s="3">
        <v>55.05</v>
      </c>
      <c r="G106" s="3">
        <v>206.6</v>
      </c>
      <c r="H106" s="3">
        <v>42.863999999999997</v>
      </c>
      <c r="I106" s="3">
        <v>134.5</v>
      </c>
      <c r="J106" s="3">
        <v>12.84</v>
      </c>
      <c r="K106" s="3">
        <v>97.15</v>
      </c>
      <c r="L106" s="3">
        <v>29003.199218999998</v>
      </c>
      <c r="N106" s="5">
        <v>-1.3112894728787516E-2</v>
      </c>
      <c r="O106" s="5">
        <v>-8.5446261823900471E-3</v>
      </c>
      <c r="P106" s="5">
        <v>-5.3673194999239726E-3</v>
      </c>
      <c r="Q106" s="5">
        <v>-1.4936797494510934E-2</v>
      </c>
      <c r="R106" s="5">
        <v>2.7210901143606137E-3</v>
      </c>
      <c r="S106" s="5">
        <v>-2.2516859284333002E-2</v>
      </c>
      <c r="T106" s="5">
        <v>-7.4699735007324186E-3</v>
      </c>
      <c r="U106" s="5">
        <v>-1.2719961999559715E-2</v>
      </c>
      <c r="V106" s="5">
        <v>-2.5237932589862844E-2</v>
      </c>
      <c r="W106" s="5">
        <v>-9.3072026555551801E-3</v>
      </c>
      <c r="X106" s="5">
        <v>-2.4153236501282649E-2</v>
      </c>
      <c r="AZ106" s="3" t="s">
        <v>112</v>
      </c>
      <c r="BA106" s="3">
        <v>101</v>
      </c>
      <c r="BB106" s="3">
        <v>1.1100046093043052</v>
      </c>
      <c r="BC106" s="3">
        <v>1.0963699161288658</v>
      </c>
      <c r="BD106" s="3">
        <v>0.94069437285645263</v>
      </c>
      <c r="BE106" s="3">
        <v>0.44761049512432383</v>
      </c>
      <c r="BG106" s="3">
        <v>6.911311759997249E-3</v>
      </c>
      <c r="BH106" s="3">
        <v>6.6508898915514231E-3</v>
      </c>
      <c r="BI106" s="3">
        <v>6.613725807872492E-3</v>
      </c>
      <c r="BJ106" s="3">
        <v>6.2030751483544977E-3</v>
      </c>
    </row>
    <row r="107" spans="1:62" x14ac:dyDescent="0.2">
      <c r="A107" s="3" t="s">
        <v>115</v>
      </c>
      <c r="B107" s="3">
        <v>79.55</v>
      </c>
      <c r="C107" s="3">
        <v>87.4</v>
      </c>
      <c r="D107" s="3">
        <v>16.908999999999999</v>
      </c>
      <c r="E107" s="3">
        <v>66.45</v>
      </c>
      <c r="F107" s="3">
        <v>55.2</v>
      </c>
      <c r="G107" s="3">
        <v>202</v>
      </c>
      <c r="H107" s="3">
        <v>42.545000000000002</v>
      </c>
      <c r="I107" s="3">
        <v>132.80000000000001</v>
      </c>
      <c r="J107" s="3">
        <v>12.52</v>
      </c>
      <c r="K107" s="3">
        <v>96.25</v>
      </c>
      <c r="L107" s="3">
        <v>28311.070313</v>
      </c>
      <c r="N107" s="5">
        <v>2.5109868811581393E-3</v>
      </c>
      <c r="O107" s="5">
        <v>1.7147760703712933E-3</v>
      </c>
      <c r="P107" s="5">
        <v>6.4255828710733098E-3</v>
      </c>
      <c r="Q107" s="5">
        <v>6.7491819749285753E-3</v>
      </c>
      <c r="R107" s="5">
        <v>9.9144570571780832E-3</v>
      </c>
      <c r="S107" s="5">
        <v>4.9382816405820762E-3</v>
      </c>
      <c r="T107" s="5">
        <v>1.5902960717386172E-2</v>
      </c>
      <c r="U107" s="5">
        <v>8.9955629085771704E-3</v>
      </c>
      <c r="V107" s="5">
        <v>3.1897953681001567E-3</v>
      </c>
      <c r="W107" s="5">
        <v>3.6297680505787966E-3</v>
      </c>
      <c r="X107" s="5">
        <v>8.4124452703218111E-3</v>
      </c>
      <c r="AZ107" s="3" t="s">
        <v>113</v>
      </c>
      <c r="BA107" s="3">
        <v>102</v>
      </c>
      <c r="BB107" s="3">
        <v>1.1177027687615879</v>
      </c>
      <c r="BC107" s="3">
        <v>1.1036860541670206</v>
      </c>
      <c r="BD107" s="3">
        <v>0.94693648656861062</v>
      </c>
      <c r="BE107" s="3">
        <v>0.4503956861065127</v>
      </c>
      <c r="BG107" s="3">
        <v>-6.3617575210027366E-3</v>
      </c>
      <c r="BH107" s="3">
        <v>-6.409193214587966E-3</v>
      </c>
      <c r="BI107" s="3">
        <v>-3.8238267288146638E-3</v>
      </c>
      <c r="BJ107" s="3">
        <v>-2.002789819381956E-4</v>
      </c>
    </row>
    <row r="108" spans="1:62" x14ac:dyDescent="0.2">
      <c r="A108" s="3" t="s">
        <v>116</v>
      </c>
      <c r="B108" s="3">
        <v>79.75</v>
      </c>
      <c r="C108" s="3">
        <v>87.55</v>
      </c>
      <c r="D108" s="3">
        <v>17.018000000000001</v>
      </c>
      <c r="E108" s="3">
        <v>66.900000000000006</v>
      </c>
      <c r="F108" s="3">
        <v>55.75</v>
      </c>
      <c r="G108" s="3">
        <v>203</v>
      </c>
      <c r="H108" s="3">
        <v>43.226999999999997</v>
      </c>
      <c r="I108" s="3">
        <v>134</v>
      </c>
      <c r="J108" s="3">
        <v>12.56</v>
      </c>
      <c r="K108" s="3">
        <v>96.6</v>
      </c>
      <c r="L108" s="3">
        <v>28550.240234000001</v>
      </c>
      <c r="N108" s="5">
        <v>-1.1983744801120189E-2</v>
      </c>
      <c r="O108" s="5">
        <v>1.1357305496981773E-2</v>
      </c>
      <c r="P108" s="5">
        <v>1.6954990016896154E-2</v>
      </c>
      <c r="Q108" s="5">
        <v>-9.0090699423663878E-3</v>
      </c>
      <c r="R108" s="5">
        <v>1.2477880255443274E-2</v>
      </c>
      <c r="S108" s="5">
        <v>4.9140148024289232E-3</v>
      </c>
      <c r="T108" s="5">
        <v>9.4171977166035425E-3</v>
      </c>
      <c r="U108" s="5">
        <v>-8.242834231711349E-3</v>
      </c>
      <c r="V108" s="5">
        <v>-1.6051709010507675E-2</v>
      </c>
      <c r="W108" s="5">
        <v>-1.0405921161116716E-2</v>
      </c>
      <c r="X108" s="5">
        <v>-1.511246788947318E-2</v>
      </c>
      <c r="AZ108" s="3" t="s">
        <v>114</v>
      </c>
      <c r="BA108" s="3">
        <v>103</v>
      </c>
      <c r="BB108" s="3">
        <v>1.11061478468953</v>
      </c>
      <c r="BC108" s="3">
        <v>1.0966349371203732</v>
      </c>
      <c r="BD108" s="3">
        <v>0.94332247959257753</v>
      </c>
      <c r="BE108" s="3">
        <v>0.45030549034948864</v>
      </c>
      <c r="BG108" s="3">
        <v>-1.1798156768652535E-2</v>
      </c>
      <c r="BH108" s="3">
        <v>-1.0581185770220797E-2</v>
      </c>
      <c r="BI108" s="3">
        <v>-3.7707845183172287E-3</v>
      </c>
      <c r="BJ108" s="3">
        <v>9.0130896761521084E-3</v>
      </c>
    </row>
    <row r="109" spans="1:62" x14ac:dyDescent="0.2">
      <c r="A109" s="3" t="s">
        <v>117</v>
      </c>
      <c r="B109" s="3">
        <v>78.8</v>
      </c>
      <c r="C109" s="3">
        <v>88.55</v>
      </c>
      <c r="D109" s="3">
        <v>17.309000000000001</v>
      </c>
      <c r="E109" s="3">
        <v>66.3</v>
      </c>
      <c r="F109" s="3">
        <v>56.45</v>
      </c>
      <c r="G109" s="3">
        <v>204</v>
      </c>
      <c r="H109" s="3">
        <v>43.636000000000003</v>
      </c>
      <c r="I109" s="3">
        <v>132.9</v>
      </c>
      <c r="J109" s="3">
        <v>12.36</v>
      </c>
      <c r="K109" s="3">
        <v>95.6</v>
      </c>
      <c r="L109" s="3">
        <v>28122.019531000002</v>
      </c>
      <c r="N109" s="5">
        <v>-4.4515176847914617E-3</v>
      </c>
      <c r="O109" s="5">
        <v>-7.9365495957359755E-3</v>
      </c>
      <c r="P109" s="5">
        <v>-1.0404625216091645E-3</v>
      </c>
      <c r="Q109" s="5">
        <v>6.0150557297617979E-3</v>
      </c>
      <c r="R109" s="5">
        <v>-6.2194780670203897E-3</v>
      </c>
      <c r="S109" s="5">
        <v>1.9588644853332227E-3</v>
      </c>
      <c r="T109" s="5">
        <v>2.0832625461930654E-3</v>
      </c>
      <c r="U109" s="5">
        <v>-4.5248945982896416E-3</v>
      </c>
      <c r="V109" s="5">
        <v>-4.8661896511728031E-3</v>
      </c>
      <c r="W109" s="5">
        <v>4.1753714104801887E-3</v>
      </c>
      <c r="X109" s="5">
        <v>5.2026897565067287E-3</v>
      </c>
      <c r="AZ109" s="3" t="s">
        <v>115</v>
      </c>
      <c r="BA109" s="3">
        <v>104</v>
      </c>
      <c r="BB109" s="3">
        <v>1.0975885711050963</v>
      </c>
      <c r="BC109" s="3">
        <v>1.0850924136143043</v>
      </c>
      <c r="BD109" s="3">
        <v>0.93977211183347387</v>
      </c>
      <c r="BE109" s="3">
        <v>0.45438247965101558</v>
      </c>
      <c r="BG109" s="3">
        <v>6.5109212514369436E-3</v>
      </c>
      <c r="BH109" s="3">
        <v>6.5007105801717507E-3</v>
      </c>
      <c r="BI109" s="3">
        <v>6.702963769918649E-3</v>
      </c>
      <c r="BJ109" s="3">
        <v>6.8302699008239154E-3</v>
      </c>
    </row>
    <row r="110" spans="1:62" x14ac:dyDescent="0.2">
      <c r="A110" s="3" t="s">
        <v>118</v>
      </c>
      <c r="B110" s="3">
        <v>78.45</v>
      </c>
      <c r="C110" s="3">
        <v>87.85</v>
      </c>
      <c r="D110" s="3">
        <v>17.291</v>
      </c>
      <c r="E110" s="3">
        <v>66.7</v>
      </c>
      <c r="F110" s="3">
        <v>56.1</v>
      </c>
      <c r="G110" s="3">
        <v>204.4</v>
      </c>
      <c r="H110" s="3">
        <v>43.726999999999997</v>
      </c>
      <c r="I110" s="3">
        <v>132.30000000000001</v>
      </c>
      <c r="J110" s="3">
        <v>12.3</v>
      </c>
      <c r="K110" s="3">
        <v>96</v>
      </c>
      <c r="L110" s="3">
        <v>28268.710938</v>
      </c>
      <c r="N110" s="5">
        <v>6.3714560932126574E-4</v>
      </c>
      <c r="O110" s="5">
        <v>-1.708915254969412E-3</v>
      </c>
      <c r="P110" s="5">
        <v>4.212962514694496E-3</v>
      </c>
      <c r="Q110" s="5">
        <v>-9.036206063937513E-3</v>
      </c>
      <c r="R110" s="5">
        <v>-2.6773777707163049E-3</v>
      </c>
      <c r="S110" s="5">
        <v>4.8804391649088785E-3</v>
      </c>
      <c r="T110" s="5">
        <v>1.035170603828961E-2</v>
      </c>
      <c r="U110" s="5">
        <v>1.8720127357296334E-2</v>
      </c>
      <c r="V110" s="5">
        <v>2.568359473469517E-2</v>
      </c>
      <c r="W110" s="5">
        <v>1.0411245084105403E-3</v>
      </c>
      <c r="X110" s="5">
        <v>2.2493631964870531E-4</v>
      </c>
      <c r="AZ110" s="3" t="s">
        <v>116</v>
      </c>
      <c r="BA110" s="3">
        <v>105</v>
      </c>
      <c r="BB110" s="3">
        <v>1.1047581989713138</v>
      </c>
      <c r="BC110" s="3">
        <v>1.0921692626999771</v>
      </c>
      <c r="BD110" s="3">
        <v>0.94609252935135701</v>
      </c>
      <c r="BE110" s="3">
        <v>0.45749665785704113</v>
      </c>
      <c r="BG110" s="3">
        <v>7.2091987773414967E-5</v>
      </c>
      <c r="BH110" s="3">
        <v>1.665767882081684E-3</v>
      </c>
      <c r="BI110" s="3">
        <v>1.2113630408995137E-2</v>
      </c>
      <c r="BJ110" s="3">
        <v>2.8704152384568582E-2</v>
      </c>
    </row>
    <row r="111" spans="1:62" x14ac:dyDescent="0.2">
      <c r="A111" s="3" t="s">
        <v>119</v>
      </c>
      <c r="B111" s="3">
        <v>78.5</v>
      </c>
      <c r="C111" s="3">
        <v>87.7</v>
      </c>
      <c r="D111" s="3">
        <v>17.364000000000001</v>
      </c>
      <c r="E111" s="3">
        <v>66.099999999999994</v>
      </c>
      <c r="F111" s="3">
        <v>55.95</v>
      </c>
      <c r="G111" s="3">
        <v>205.4</v>
      </c>
      <c r="H111" s="3">
        <v>44.182000000000002</v>
      </c>
      <c r="I111" s="3">
        <v>134.80000000000001</v>
      </c>
      <c r="J111" s="3">
        <v>12.62</v>
      </c>
      <c r="K111" s="3">
        <v>96.1</v>
      </c>
      <c r="L111" s="3">
        <v>28275.070313</v>
      </c>
      <c r="N111" s="5">
        <v>-3.1897953681001567E-3</v>
      </c>
      <c r="O111" s="5">
        <v>-3.4266167166476791E-3</v>
      </c>
      <c r="P111" s="5">
        <v>-7.398877683755245E-3</v>
      </c>
      <c r="Q111" s="5">
        <v>-8.3555366479322046E-3</v>
      </c>
      <c r="R111" s="5">
        <v>-8.9405459688141065E-4</v>
      </c>
      <c r="S111" s="5">
        <v>-2.4643928283748728E-2</v>
      </c>
      <c r="T111" s="5">
        <v>-8.272774453965237E-3</v>
      </c>
      <c r="U111" s="5">
        <v>-5.9523985272953439E-3</v>
      </c>
      <c r="V111" s="5">
        <v>-2.4058899007693313E-2</v>
      </c>
      <c r="W111" s="5">
        <v>-1.6260520871780315E-2</v>
      </c>
      <c r="X111" s="5">
        <v>-1.1689938350885498E-2</v>
      </c>
      <c r="AZ111" s="3" t="s">
        <v>117</v>
      </c>
      <c r="BA111" s="3">
        <v>106</v>
      </c>
      <c r="BB111" s="3">
        <v>1.1048378460568105</v>
      </c>
      <c r="BC111" s="3">
        <v>1.093990079287444</v>
      </c>
      <c r="BD111" s="3">
        <v>0.95762284055264324</v>
      </c>
      <c r="BE111" s="3">
        <v>0.47081900020326273</v>
      </c>
      <c r="BG111" s="3">
        <v>-1.4519047770425036E-3</v>
      </c>
      <c r="BH111" s="3">
        <v>-1.5730366751157548E-3</v>
      </c>
      <c r="BI111" s="3">
        <v>-5.9649989220889391E-3</v>
      </c>
      <c r="BJ111" s="3">
        <v>-1.2520868768622018E-2</v>
      </c>
    </row>
    <row r="112" spans="1:62" x14ac:dyDescent="0.2">
      <c r="A112" s="3" t="s">
        <v>120</v>
      </c>
      <c r="B112" s="3">
        <v>78.25</v>
      </c>
      <c r="C112" s="3">
        <v>87.4</v>
      </c>
      <c r="D112" s="3">
        <v>17.236000000000001</v>
      </c>
      <c r="E112" s="3">
        <v>65.55</v>
      </c>
      <c r="F112" s="3">
        <v>55.9</v>
      </c>
      <c r="G112" s="3">
        <v>200.4</v>
      </c>
      <c r="H112" s="3">
        <v>43.817999999999998</v>
      </c>
      <c r="I112" s="3">
        <v>134</v>
      </c>
      <c r="J112" s="3">
        <v>12.32</v>
      </c>
      <c r="K112" s="3">
        <v>94.55</v>
      </c>
      <c r="L112" s="3">
        <v>27946.460938</v>
      </c>
      <c r="N112" s="5">
        <v>1.9150979360995635E-3</v>
      </c>
      <c r="O112" s="5">
        <v>2.8202658816085524E-2</v>
      </c>
      <c r="P112" s="5">
        <v>1.7768789281586983E-2</v>
      </c>
      <c r="Q112" s="5">
        <v>-5.3537412771014203E-3</v>
      </c>
      <c r="R112" s="5">
        <v>-3.365483607583597E-2</v>
      </c>
      <c r="S112" s="5">
        <v>9.9305682026011866E-3</v>
      </c>
      <c r="T112" s="5">
        <v>8.272774453965237E-3</v>
      </c>
      <c r="U112" s="5">
        <v>7.4349784875185065E-3</v>
      </c>
      <c r="V112" s="5">
        <v>-3.2520353863776386E-3</v>
      </c>
      <c r="W112" s="5">
        <v>0</v>
      </c>
      <c r="X112" s="5">
        <v>-5.7003549983640767E-3</v>
      </c>
      <c r="AZ112" s="3" t="s">
        <v>118</v>
      </c>
      <c r="BA112" s="3">
        <v>107</v>
      </c>
      <c r="BB112" s="3">
        <v>1.1032348906611509</v>
      </c>
      <c r="BC112" s="3">
        <v>1.0922705455698871</v>
      </c>
      <c r="BD112" s="3">
        <v>0.95192762420754051</v>
      </c>
      <c r="BE112" s="3">
        <v>0.46496068939317403</v>
      </c>
      <c r="BG112" s="3">
        <v>5.7974766128572192E-3</v>
      </c>
      <c r="BH112" s="3">
        <v>3.8271912245203543E-3</v>
      </c>
      <c r="BI112" s="3">
        <v>2.0974601961256945E-3</v>
      </c>
      <c r="BJ112" s="3">
        <v>-4.7157572236938838E-3</v>
      </c>
    </row>
    <row r="113" spans="1:62" x14ac:dyDescent="0.2">
      <c r="A113" s="3" t="s">
        <v>121</v>
      </c>
      <c r="B113" s="3">
        <v>78.400000000000006</v>
      </c>
      <c r="C113" s="3">
        <v>89.9</v>
      </c>
      <c r="D113" s="3">
        <v>17.545000000000002</v>
      </c>
      <c r="E113" s="3">
        <v>65.2</v>
      </c>
      <c r="F113" s="3">
        <v>54.05</v>
      </c>
      <c r="G113" s="3">
        <v>202.4</v>
      </c>
      <c r="H113" s="3">
        <v>44.182000000000002</v>
      </c>
      <c r="I113" s="3">
        <v>135</v>
      </c>
      <c r="J113" s="3">
        <v>12.28</v>
      </c>
      <c r="K113" s="3">
        <v>94.55</v>
      </c>
      <c r="L113" s="3">
        <v>27787.609375</v>
      </c>
      <c r="N113" s="5">
        <v>-3.5045766912959131E-2</v>
      </c>
      <c r="O113" s="5">
        <v>6.0992703637294809E-3</v>
      </c>
      <c r="P113" s="5">
        <v>6.2500203451709702E-3</v>
      </c>
      <c r="Q113" s="5">
        <v>-1.534919718083394E-3</v>
      </c>
      <c r="R113" s="5">
        <v>-5.5658770774451582E-3</v>
      </c>
      <c r="S113" s="5">
        <v>-2.9688294938017279E-3</v>
      </c>
      <c r="T113" s="5">
        <v>-6.198155861308674E-3</v>
      </c>
      <c r="U113" s="5">
        <v>-8.1815257413024867E-3</v>
      </c>
      <c r="V113" s="5">
        <v>-6.5359709797854215E-3</v>
      </c>
      <c r="W113" s="5">
        <v>-7.963939092287653E-3</v>
      </c>
      <c r="X113" s="5">
        <v>-4.7026687665230327E-3</v>
      </c>
      <c r="AZ113" s="3" t="s">
        <v>119</v>
      </c>
      <c r="BA113" s="3">
        <v>108</v>
      </c>
      <c r="BB113" s="3">
        <v>1.1096494452869783</v>
      </c>
      <c r="BC113" s="3">
        <v>1.0964588834894085</v>
      </c>
      <c r="BD113" s="3">
        <v>0.95392634989994374</v>
      </c>
      <c r="BE113" s="3">
        <v>0.4627732095292495</v>
      </c>
      <c r="BG113" s="3">
        <v>-1.0497754529077322E-2</v>
      </c>
      <c r="BH113" s="3">
        <v>-9.3309310718531907E-3</v>
      </c>
      <c r="BI113" s="3">
        <v>-3.7801241326852128E-3</v>
      </c>
      <c r="BJ113" s="3">
        <v>6.7323291195591217E-3</v>
      </c>
    </row>
    <row r="114" spans="1:62" x14ac:dyDescent="0.2">
      <c r="A114" s="3" t="s">
        <v>122</v>
      </c>
      <c r="B114" s="3">
        <v>75.7</v>
      </c>
      <c r="C114" s="3">
        <v>90.45</v>
      </c>
      <c r="D114" s="3">
        <v>17.655000000000001</v>
      </c>
      <c r="E114" s="3">
        <v>65.099999999999994</v>
      </c>
      <c r="F114" s="3">
        <v>53.75</v>
      </c>
      <c r="G114" s="3">
        <v>201.8</v>
      </c>
      <c r="H114" s="3">
        <v>43.908999999999999</v>
      </c>
      <c r="I114" s="3">
        <v>133.9</v>
      </c>
      <c r="J114" s="3">
        <v>12.2</v>
      </c>
      <c r="K114" s="3">
        <v>93.8</v>
      </c>
      <c r="L114" s="3">
        <v>27657.240234000001</v>
      </c>
      <c r="N114" s="5">
        <v>-5.298025637555881E-3</v>
      </c>
      <c r="O114" s="5">
        <v>1.5903817520337427E-2</v>
      </c>
      <c r="P114" s="5">
        <v>1.4284350404252688E-2</v>
      </c>
      <c r="Q114" s="5">
        <v>3.0674870678613075E-3</v>
      </c>
      <c r="R114" s="5">
        <v>9.2980015996646515E-4</v>
      </c>
      <c r="S114" s="5">
        <v>0</v>
      </c>
      <c r="T114" s="5">
        <v>1.8458035655687155E-2</v>
      </c>
      <c r="U114" s="5">
        <v>5.2141645135002079E-3</v>
      </c>
      <c r="V114" s="5">
        <v>0</v>
      </c>
      <c r="W114" s="5">
        <v>8.4926200456534318E-3</v>
      </c>
      <c r="X114" s="5">
        <v>1.7592642559804972E-3</v>
      </c>
      <c r="AZ114" s="3" t="s">
        <v>120</v>
      </c>
      <c r="BA114" s="3">
        <v>109</v>
      </c>
      <c r="BB114" s="3">
        <v>1.0980615476674709</v>
      </c>
      <c r="BC114" s="3">
        <v>1.086275485403029</v>
      </c>
      <c r="BD114" s="3">
        <v>0.95032719679243416</v>
      </c>
      <c r="BE114" s="3">
        <v>0.46589926208367771</v>
      </c>
      <c r="BG114" s="3">
        <v>3.4930905854409361E-3</v>
      </c>
      <c r="BH114" s="3">
        <v>2.3504949795369739E-3</v>
      </c>
      <c r="BI114" s="3">
        <v>-8.3684773642594967E-4</v>
      </c>
      <c r="BJ114" s="3">
        <v>-1.076619333843809E-2</v>
      </c>
    </row>
    <row r="115" spans="1:62" x14ac:dyDescent="0.2">
      <c r="A115" s="3" t="s">
        <v>123</v>
      </c>
      <c r="B115" s="3">
        <v>75.3</v>
      </c>
      <c r="C115" s="3">
        <v>91.9</v>
      </c>
      <c r="D115" s="3">
        <v>17.908999999999999</v>
      </c>
      <c r="E115" s="3">
        <v>65.3</v>
      </c>
      <c r="F115" s="3">
        <v>53.8</v>
      </c>
      <c r="G115" s="3">
        <v>201.8</v>
      </c>
      <c r="H115" s="3">
        <v>44.726999999999997</v>
      </c>
      <c r="I115" s="3">
        <v>134.6</v>
      </c>
      <c r="J115" s="3">
        <v>12.2</v>
      </c>
      <c r="K115" s="3">
        <v>94.6</v>
      </c>
      <c r="L115" s="3">
        <v>27705.939452999999</v>
      </c>
      <c r="N115" s="5">
        <v>-5.9940239402100914E-3</v>
      </c>
      <c r="O115" s="5">
        <v>-9.8415228447921166E-3</v>
      </c>
      <c r="P115" s="5">
        <v>2.008144814968027E-3</v>
      </c>
      <c r="Q115" s="5">
        <v>-7.6599007958222387E-4</v>
      </c>
      <c r="R115" s="5">
        <v>7.4074412778619703E-3</v>
      </c>
      <c r="S115" s="5">
        <v>-4.9677201019351358E-3</v>
      </c>
      <c r="T115" s="5">
        <v>-1.2259879794378481E-2</v>
      </c>
      <c r="U115" s="5">
        <v>-3.7216269229949361E-3</v>
      </c>
      <c r="V115" s="5">
        <v>-1.1541760440171522E-2</v>
      </c>
      <c r="W115" s="5">
        <v>-1.7595761890379258E-2</v>
      </c>
      <c r="X115" s="5">
        <v>-1.5964831929997203E-2</v>
      </c>
      <c r="AZ115" s="3" t="s">
        <v>121</v>
      </c>
      <c r="BA115" s="3">
        <v>110</v>
      </c>
      <c r="BB115" s="3">
        <v>1.1019038830276873</v>
      </c>
      <c r="BC115" s="3">
        <v>1.0888317735721962</v>
      </c>
      <c r="BD115" s="3">
        <v>0.94953225029991351</v>
      </c>
      <c r="BE115" s="3">
        <v>0.46091020531713156</v>
      </c>
      <c r="BG115" s="3">
        <v>-5.7383974808343508E-3</v>
      </c>
      <c r="BH115" s="3">
        <v>-5.1322595929223225E-3</v>
      </c>
      <c r="BI115" s="3">
        <v>-1.8918223718134841E-3</v>
      </c>
      <c r="BJ115" s="3">
        <v>2.1419139292359057E-3</v>
      </c>
    </row>
    <row r="116" spans="1:62" x14ac:dyDescent="0.2">
      <c r="A116" s="3" t="s">
        <v>124</v>
      </c>
      <c r="B116" s="3">
        <v>74.849999999999994</v>
      </c>
      <c r="C116" s="3">
        <v>91</v>
      </c>
      <c r="D116" s="3">
        <v>17.945</v>
      </c>
      <c r="E116" s="3">
        <v>65.25</v>
      </c>
      <c r="F116" s="3">
        <v>54.2</v>
      </c>
      <c r="G116" s="3">
        <v>200.8</v>
      </c>
      <c r="H116" s="3">
        <v>44.182000000000002</v>
      </c>
      <c r="I116" s="3">
        <v>134.1</v>
      </c>
      <c r="J116" s="3">
        <v>12.06</v>
      </c>
      <c r="K116" s="3">
        <v>92.95</v>
      </c>
      <c r="L116" s="3">
        <v>27267.130859000001</v>
      </c>
      <c r="N116" s="5">
        <v>-2.0060187268660101E-3</v>
      </c>
      <c r="O116" s="5">
        <v>8.2079804178301075E-3</v>
      </c>
      <c r="P116" s="5">
        <v>2.059732963010763E-3</v>
      </c>
      <c r="Q116" s="5">
        <v>2.296212260350039E-3</v>
      </c>
      <c r="R116" s="5">
        <v>2.7637051216178321E-3</v>
      </c>
      <c r="S116" s="5">
        <v>6.947918768797301E-3</v>
      </c>
      <c r="T116" s="5">
        <v>3.0734487470200911E-3</v>
      </c>
      <c r="U116" s="5">
        <v>3.7216269229949361E-3</v>
      </c>
      <c r="V116" s="5">
        <v>6.6115943323130644E-3</v>
      </c>
      <c r="W116" s="5">
        <v>-6.4760075222043412E-3</v>
      </c>
      <c r="X116" s="5">
        <v>3.1782210449335935E-3</v>
      </c>
      <c r="AZ116" s="3" t="s">
        <v>122</v>
      </c>
      <c r="BA116" s="3">
        <v>111</v>
      </c>
      <c r="BB116" s="3">
        <v>1.0955988283179252</v>
      </c>
      <c r="BC116" s="3">
        <v>1.0832579217191634</v>
      </c>
      <c r="BD116" s="3">
        <v>0.94773760205913604</v>
      </c>
      <c r="BE116" s="3">
        <v>0.46189849334213218</v>
      </c>
      <c r="BG116" s="3">
        <v>6.5022800267929559E-3</v>
      </c>
      <c r="BH116" s="3">
        <v>6.4973759347244087E-3</v>
      </c>
      <c r="BI116" s="3">
        <v>8.2029077712863427E-3</v>
      </c>
      <c r="BJ116" s="3">
        <v>9.423572872721997E-3</v>
      </c>
    </row>
    <row r="117" spans="1:62" x14ac:dyDescent="0.2">
      <c r="A117" s="3" t="s">
        <v>125</v>
      </c>
      <c r="B117" s="3">
        <v>74.7</v>
      </c>
      <c r="C117" s="3">
        <v>91.75</v>
      </c>
      <c r="D117" s="3">
        <v>17.981999999999999</v>
      </c>
      <c r="E117" s="3">
        <v>65.400000000000006</v>
      </c>
      <c r="F117" s="3">
        <v>54.35</v>
      </c>
      <c r="G117" s="3">
        <v>202.2</v>
      </c>
      <c r="H117" s="3">
        <v>44.317999999999998</v>
      </c>
      <c r="I117" s="3">
        <v>134.6</v>
      </c>
      <c r="J117" s="3">
        <v>12.14</v>
      </c>
      <c r="K117" s="3">
        <v>92.35</v>
      </c>
      <c r="L117" s="3">
        <v>27353.929688</v>
      </c>
      <c r="N117" s="5">
        <v>-8.7395514249637429E-3</v>
      </c>
      <c r="O117" s="5">
        <v>1.0300985637129223E-2</v>
      </c>
      <c r="P117" s="5">
        <v>-7.0876765161695943E-3</v>
      </c>
      <c r="Q117" s="5">
        <v>7.6423389275603881E-4</v>
      </c>
      <c r="R117" s="5">
        <v>-1.8416211466494303E-3</v>
      </c>
      <c r="S117" s="5">
        <v>-7.9444310585357059E-3</v>
      </c>
      <c r="T117" s="5">
        <v>3.0865265060890934E-3</v>
      </c>
      <c r="U117" s="5">
        <v>5.1871179661153732E-3</v>
      </c>
      <c r="V117" s="5">
        <v>-6.6115943323130644E-3</v>
      </c>
      <c r="W117" s="5">
        <v>-3.7971295962080376E-3</v>
      </c>
      <c r="X117" s="5">
        <v>-2.4098624621604614E-3</v>
      </c>
      <c r="AZ117" s="3" t="s">
        <v>123</v>
      </c>
      <c r="BA117" s="3">
        <v>112</v>
      </c>
      <c r="BB117" s="3">
        <v>1.1027459297427047</v>
      </c>
      <c r="BC117" s="3">
        <v>1.0903191706237982</v>
      </c>
      <c r="BD117" s="3">
        <v>0.95554377910378918</v>
      </c>
      <c r="BE117" s="3">
        <v>0.4662718011827196</v>
      </c>
      <c r="BG117" s="3">
        <v>-5.8155193265066046E-3</v>
      </c>
      <c r="BH117" s="3">
        <v>-4.5704276704452429E-3</v>
      </c>
      <c r="BI117" s="3">
        <v>2.5123847890373002E-4</v>
      </c>
      <c r="BJ117" s="3">
        <v>9.534147502960777E-3</v>
      </c>
    </row>
    <row r="118" spans="1:62" x14ac:dyDescent="0.2">
      <c r="A118" s="3" t="s">
        <v>126</v>
      </c>
      <c r="B118" s="3">
        <v>74.05</v>
      </c>
      <c r="C118" s="3">
        <v>92.7</v>
      </c>
      <c r="D118" s="3">
        <v>17.855</v>
      </c>
      <c r="E118" s="3">
        <v>65.45</v>
      </c>
      <c r="F118" s="3">
        <v>54.25</v>
      </c>
      <c r="G118" s="3">
        <v>200.6</v>
      </c>
      <c r="H118" s="3">
        <v>44.454999999999998</v>
      </c>
      <c r="I118" s="3">
        <v>135.30000000000001</v>
      </c>
      <c r="J118" s="3">
        <v>12.06</v>
      </c>
      <c r="K118" s="3">
        <v>92</v>
      </c>
      <c r="L118" s="3">
        <v>27288.089843999998</v>
      </c>
      <c r="N118" s="5">
        <v>1.141334980936648E-2</v>
      </c>
      <c r="O118" s="5">
        <v>-1.9608471388376181E-2</v>
      </c>
      <c r="P118" s="5">
        <v>-2.6848393031142948E-2</v>
      </c>
      <c r="Q118" s="5">
        <v>0</v>
      </c>
      <c r="R118" s="5">
        <v>0</v>
      </c>
      <c r="S118" s="5">
        <v>-1.9960086467154525E-3</v>
      </c>
      <c r="T118" s="5">
        <v>5.0932943834611777E-3</v>
      </c>
      <c r="U118" s="5">
        <v>-9.654735225831601E-3</v>
      </c>
      <c r="V118" s="5">
        <v>4.9627893421289038E-3</v>
      </c>
      <c r="W118" s="5">
        <v>1.5637956852531332E-2</v>
      </c>
      <c r="X118" s="5">
        <v>3.7572380975632313E-3</v>
      </c>
      <c r="AZ118" s="3" t="s">
        <v>124</v>
      </c>
      <c r="BA118" s="3">
        <v>113</v>
      </c>
      <c r="BB118" s="3">
        <v>1.0963515009599065</v>
      </c>
      <c r="BC118" s="3">
        <v>1.0853473161221299</v>
      </c>
      <c r="BD118" s="3">
        <v>0.95578387862923397</v>
      </c>
      <c r="BE118" s="3">
        <v>0.47073856486791266</v>
      </c>
      <c r="BG118" s="3">
        <v>2.8362471856217819E-3</v>
      </c>
      <c r="BH118" s="3">
        <v>2.8317247204799473E-3</v>
      </c>
      <c r="BI118" s="3">
        <v>4.1861254874985057E-3</v>
      </c>
      <c r="BJ118" s="3">
        <v>5.4746068247362167E-3</v>
      </c>
    </row>
    <row r="119" spans="1:62" x14ac:dyDescent="0.2">
      <c r="A119" s="3" t="s">
        <v>127</v>
      </c>
      <c r="B119" s="3">
        <v>74.900000000000006</v>
      </c>
      <c r="C119" s="3">
        <v>90.9</v>
      </c>
      <c r="D119" s="3">
        <v>17.382000000000001</v>
      </c>
      <c r="E119" s="3">
        <v>65.45</v>
      </c>
      <c r="F119" s="3">
        <v>54.25</v>
      </c>
      <c r="G119" s="3">
        <v>200.2</v>
      </c>
      <c r="H119" s="3">
        <v>44.682000000000002</v>
      </c>
      <c r="I119" s="3">
        <v>134</v>
      </c>
      <c r="J119" s="3">
        <v>12.12</v>
      </c>
      <c r="K119" s="3">
        <v>93.45</v>
      </c>
      <c r="L119" s="3">
        <v>27390.810547000001</v>
      </c>
      <c r="N119" s="5">
        <v>-8.0429387994609414E-3</v>
      </c>
      <c r="O119" s="5">
        <v>5.499037806986351E-4</v>
      </c>
      <c r="P119" s="5">
        <v>1.1440463413718405E-2</v>
      </c>
      <c r="Q119" s="5">
        <v>-9.2095815934563063E-3</v>
      </c>
      <c r="R119" s="5">
        <v>1.8416211466494303E-3</v>
      </c>
      <c r="S119" s="5">
        <v>-2.5006264593505634E-3</v>
      </c>
      <c r="T119" s="5">
        <v>-5.0932943834611777E-3</v>
      </c>
      <c r="U119" s="5">
        <v>-2.4935179320735301E-2</v>
      </c>
      <c r="V119" s="5">
        <v>-4.9627893421289038E-3</v>
      </c>
      <c r="W119" s="5">
        <v>-1.2924250980935525E-2</v>
      </c>
      <c r="X119" s="5">
        <v>-5.6785613128091939E-3</v>
      </c>
      <c r="AZ119" s="3" t="s">
        <v>125</v>
      </c>
      <c r="BA119" s="3">
        <v>114</v>
      </c>
      <c r="BB119" s="3">
        <v>1.0994654386800504</v>
      </c>
      <c r="BC119" s="3">
        <v>1.0884250765760528</v>
      </c>
      <c r="BD119" s="3">
        <v>0.95979329599124252</v>
      </c>
      <c r="BE119" s="3">
        <v>0.47332274064672253</v>
      </c>
      <c r="BG119" s="3">
        <v>-1.5845439903883485E-3</v>
      </c>
      <c r="BH119" s="3">
        <v>-1.5116400659417883E-3</v>
      </c>
      <c r="BI119" s="3">
        <v>-6.0927273200567234E-4</v>
      </c>
      <c r="BJ119" s="3">
        <v>3.3876457640635849E-4</v>
      </c>
    </row>
    <row r="120" spans="1:62" x14ac:dyDescent="0.2">
      <c r="A120" s="3" t="s">
        <v>128</v>
      </c>
      <c r="B120" s="3">
        <v>74.3</v>
      </c>
      <c r="C120" s="3">
        <v>90.95</v>
      </c>
      <c r="D120" s="3">
        <v>17.582000000000001</v>
      </c>
      <c r="E120" s="3">
        <v>64.849999999999994</v>
      </c>
      <c r="F120" s="3">
        <v>54.35</v>
      </c>
      <c r="G120" s="3">
        <v>199.7</v>
      </c>
      <c r="H120" s="3">
        <v>44.454999999999998</v>
      </c>
      <c r="I120" s="3">
        <v>130.69999999999999</v>
      </c>
      <c r="J120" s="3">
        <v>12.06</v>
      </c>
      <c r="K120" s="3">
        <v>92.25</v>
      </c>
      <c r="L120" s="3">
        <v>27235.710938</v>
      </c>
      <c r="N120" s="5">
        <v>-1.7651510575322327E-2</v>
      </c>
      <c r="O120" s="5">
        <v>-9.389740349839748E-3</v>
      </c>
      <c r="P120" s="5">
        <v>-2.8967463068563237E-2</v>
      </c>
      <c r="Q120" s="5">
        <v>-5.4116869607261364E-3</v>
      </c>
      <c r="R120" s="5">
        <v>-3.6866401202186871E-3</v>
      </c>
      <c r="S120" s="5">
        <v>-2.5068952712716808E-3</v>
      </c>
      <c r="T120" s="5">
        <v>-5.6807823289733772E-2</v>
      </c>
      <c r="U120" s="5">
        <v>-7.6805293077777392E-3</v>
      </c>
      <c r="V120" s="5">
        <v>-1.8410561843179796E-2</v>
      </c>
      <c r="W120" s="5">
        <v>5.944356871518508E-3</v>
      </c>
      <c r="X120" s="5">
        <v>-4.4463279633504271E-3</v>
      </c>
      <c r="AZ120" s="3" t="s">
        <v>126</v>
      </c>
      <c r="BA120" s="3">
        <v>115</v>
      </c>
      <c r="BB120" s="3">
        <v>1.0977246668555414</v>
      </c>
      <c r="BC120" s="3">
        <v>1.086781012551115</v>
      </c>
      <c r="BD120" s="3">
        <v>0.9592086982154594</v>
      </c>
      <c r="BE120" s="3">
        <v>0.47348311278712762</v>
      </c>
      <c r="BG120" s="3">
        <v>-2.6131379001362309E-3</v>
      </c>
      <c r="BH120" s="3">
        <v>-3.7011457436169209E-3</v>
      </c>
      <c r="BI120" s="3">
        <v>-1.2033158895024314E-2</v>
      </c>
      <c r="BJ120" s="3">
        <v>-2.3551572962560496E-2</v>
      </c>
    </row>
    <row r="121" spans="1:62" x14ac:dyDescent="0.2">
      <c r="A121" s="3" t="s">
        <v>129</v>
      </c>
      <c r="B121" s="3">
        <v>73</v>
      </c>
      <c r="C121" s="3">
        <v>90.1</v>
      </c>
      <c r="D121" s="3">
        <v>17.079999999999998</v>
      </c>
      <c r="E121" s="3">
        <v>64.5</v>
      </c>
      <c r="F121" s="3">
        <v>54.15</v>
      </c>
      <c r="G121" s="3">
        <v>199.2</v>
      </c>
      <c r="H121" s="3">
        <v>42</v>
      </c>
      <c r="I121" s="3">
        <v>129.69999999999999</v>
      </c>
      <c r="J121" s="3">
        <v>11.84</v>
      </c>
      <c r="K121" s="3">
        <v>92.8</v>
      </c>
      <c r="L121" s="3">
        <v>27114.880859000001</v>
      </c>
      <c r="N121" s="5">
        <v>1.4281099565416788E-2</v>
      </c>
      <c r="O121" s="5">
        <v>-1.6224132094074584E-2</v>
      </c>
      <c r="P121" s="5">
        <v>1.3953714773865311E-2</v>
      </c>
      <c r="Q121" s="5">
        <v>-7.0011954589830339E-3</v>
      </c>
      <c r="R121" s="5">
        <v>9.2293499860085504E-4</v>
      </c>
      <c r="S121" s="5">
        <v>-1.3646913841181885E-2</v>
      </c>
      <c r="T121" s="5">
        <v>-3.6367644170875124E-2</v>
      </c>
      <c r="U121" s="5">
        <v>-4.4136399111836866E-2</v>
      </c>
      <c r="V121" s="5">
        <v>-2.3932766211628209E-2</v>
      </c>
      <c r="W121" s="5">
        <v>0</v>
      </c>
      <c r="X121" s="5">
        <v>-7.9158859346257771E-3</v>
      </c>
      <c r="AZ121" s="3" t="s">
        <v>127</v>
      </c>
      <c r="BA121" s="3">
        <v>116</v>
      </c>
      <c r="BB121" s="3">
        <v>1.0948599055629868</v>
      </c>
      <c r="BC121" s="3">
        <v>1.0827661120813286</v>
      </c>
      <c r="BD121" s="3">
        <v>0.94773555505300155</v>
      </c>
      <c r="BE121" s="3">
        <v>0.46246213085846655</v>
      </c>
      <c r="BG121" s="3">
        <v>-5.315939704114106E-3</v>
      </c>
      <c r="BH121" s="3">
        <v>-4.0377842778519246E-3</v>
      </c>
      <c r="BI121" s="3">
        <v>3.3985172122529758E-3</v>
      </c>
      <c r="BJ121" s="3">
        <v>1.5700828960185764E-2</v>
      </c>
    </row>
    <row r="122" spans="1:62" x14ac:dyDescent="0.2">
      <c r="A122" s="3" t="s">
        <v>130</v>
      </c>
      <c r="B122" s="3">
        <v>74.05</v>
      </c>
      <c r="C122" s="3">
        <v>88.65</v>
      </c>
      <c r="D122" s="3">
        <v>17.32</v>
      </c>
      <c r="E122" s="3">
        <v>64.05</v>
      </c>
      <c r="F122" s="3">
        <v>54.2</v>
      </c>
      <c r="G122" s="3">
        <v>196.5</v>
      </c>
      <c r="H122" s="3">
        <v>40.5</v>
      </c>
      <c r="I122" s="3">
        <v>124.1</v>
      </c>
      <c r="J122" s="3">
        <v>11.56</v>
      </c>
      <c r="K122" s="3">
        <v>92.8</v>
      </c>
      <c r="L122" s="3">
        <v>26901.089843999998</v>
      </c>
      <c r="N122" s="5">
        <v>1.2747572822502384E-2</v>
      </c>
      <c r="O122" s="5">
        <v>-2.8240628766189602E-3</v>
      </c>
      <c r="P122" s="5">
        <v>-1.7472779989061049E-2</v>
      </c>
      <c r="Q122" s="5">
        <v>-1.1778699192612763E-2</v>
      </c>
      <c r="R122" s="5">
        <v>2.7637051216178321E-3</v>
      </c>
      <c r="S122" s="5">
        <v>-5.6136917006330833E-3</v>
      </c>
      <c r="T122" s="5">
        <v>-3.7105793965355183E-3</v>
      </c>
      <c r="U122" s="5">
        <v>-4.0371471869704578E-3</v>
      </c>
      <c r="V122" s="5">
        <v>5.1768881795339894E-3</v>
      </c>
      <c r="W122" s="5">
        <v>2.1528533611014922E-3</v>
      </c>
      <c r="X122" s="5">
        <v>-2.6881590738625505E-4</v>
      </c>
      <c r="AZ122" s="3" t="s">
        <v>128</v>
      </c>
      <c r="BA122" s="3">
        <v>117</v>
      </c>
      <c r="BB122" s="3">
        <v>1.089055138885229</v>
      </c>
      <c r="BC122" s="3">
        <v>1.0784029507774049</v>
      </c>
      <c r="BD122" s="3">
        <v>0.95096192998952722</v>
      </c>
      <c r="BE122" s="3">
        <v>0.46978047134166878</v>
      </c>
      <c r="BG122" s="3">
        <v>-1.5100404751609134E-2</v>
      </c>
      <c r="BH122" s="3">
        <v>-1.415817370072326E-2</v>
      </c>
      <c r="BI122" s="3">
        <v>-1.5411504193743646E-2</v>
      </c>
      <c r="BJ122" s="3">
        <v>-1.3642909639964285E-2</v>
      </c>
    </row>
    <row r="123" spans="1:62" x14ac:dyDescent="0.2">
      <c r="A123" s="3" t="s">
        <v>131</v>
      </c>
      <c r="B123" s="3">
        <v>75</v>
      </c>
      <c r="C123" s="3">
        <v>88.4</v>
      </c>
      <c r="D123" s="3">
        <v>17.02</v>
      </c>
      <c r="E123" s="3">
        <v>63.3</v>
      </c>
      <c r="F123" s="3">
        <v>54.35</v>
      </c>
      <c r="G123" s="3">
        <v>195.4</v>
      </c>
      <c r="H123" s="3">
        <v>40.35</v>
      </c>
      <c r="I123" s="3">
        <v>123.6</v>
      </c>
      <c r="J123" s="3">
        <v>11.62</v>
      </c>
      <c r="K123" s="3">
        <v>93</v>
      </c>
      <c r="L123" s="3">
        <v>26893.859375</v>
      </c>
      <c r="N123" s="5">
        <v>2.6631174194839957E-3</v>
      </c>
      <c r="O123" s="5">
        <v>2.8240628766189602E-3</v>
      </c>
      <c r="P123" s="5">
        <v>-1.1757790890118969E-3</v>
      </c>
      <c r="Q123" s="5">
        <v>6.2992334279865503E-3</v>
      </c>
      <c r="R123" s="5">
        <v>0</v>
      </c>
      <c r="S123" s="5">
        <v>-1.5364919796168053E-3</v>
      </c>
      <c r="T123" s="5">
        <v>8.6366977325917915E-3</v>
      </c>
      <c r="U123" s="5">
        <v>-8.0938895555870971E-4</v>
      </c>
      <c r="V123" s="5">
        <v>6.8610903799450895E-3</v>
      </c>
      <c r="W123" s="5">
        <v>1.5471100794262505E-2</v>
      </c>
      <c r="X123" s="5">
        <v>-4.9329672089992727E-3</v>
      </c>
      <c r="AZ123" s="3" t="s">
        <v>129</v>
      </c>
      <c r="BA123" s="3">
        <v>118</v>
      </c>
      <c r="BB123" s="3">
        <v>1.0727335072532167</v>
      </c>
      <c r="BC123" s="3">
        <v>1.0632423112150042</v>
      </c>
      <c r="BD123" s="3">
        <v>0.93641853189226121</v>
      </c>
      <c r="BE123" s="3">
        <v>0.46341482055547523</v>
      </c>
      <c r="BG123" s="3">
        <v>-1.1802348094543967E-2</v>
      </c>
      <c r="BH123" s="3">
        <v>-8.9886387980591606E-3</v>
      </c>
      <c r="BI123" s="3">
        <v>-1.8005145816160362E-3</v>
      </c>
      <c r="BJ123" s="3">
        <v>1.4893944407577631E-2</v>
      </c>
    </row>
    <row r="124" spans="1:62" x14ac:dyDescent="0.2">
      <c r="A124" s="3" t="s">
        <v>132</v>
      </c>
      <c r="B124" s="3">
        <v>75.2</v>
      </c>
      <c r="C124" s="3">
        <v>88.65</v>
      </c>
      <c r="D124" s="3">
        <v>17</v>
      </c>
      <c r="E124" s="3">
        <v>63.7</v>
      </c>
      <c r="F124" s="3">
        <v>54.35</v>
      </c>
      <c r="G124" s="3">
        <v>195.1</v>
      </c>
      <c r="H124" s="3">
        <v>40.700000000000003</v>
      </c>
      <c r="I124" s="3">
        <v>123.5</v>
      </c>
      <c r="J124" s="3">
        <v>11.7</v>
      </c>
      <c r="K124" s="3">
        <v>94.45</v>
      </c>
      <c r="L124" s="3">
        <v>26761.519531000002</v>
      </c>
      <c r="N124" s="5">
        <v>2.6560440581162581E-3</v>
      </c>
      <c r="O124" s="5">
        <v>-3.9559249103024996E-3</v>
      </c>
      <c r="P124" s="5">
        <v>-8.2693914825067161E-3</v>
      </c>
      <c r="Q124" s="5">
        <v>8.5971611972119888E-3</v>
      </c>
      <c r="R124" s="5">
        <v>3.6730987118613889E-3</v>
      </c>
      <c r="S124" s="5">
        <v>-6.1696853804598106E-3</v>
      </c>
      <c r="T124" s="5">
        <v>1.5844329021150738E-2</v>
      </c>
      <c r="U124" s="5">
        <v>4.8465361425291675E-3</v>
      </c>
      <c r="V124" s="5">
        <v>5.1151006667704557E-3</v>
      </c>
      <c r="W124" s="5">
        <v>1.2625101938743555E-2</v>
      </c>
      <c r="X124" s="5">
        <v>4.9917178540113127E-3</v>
      </c>
      <c r="AZ124" s="3" t="s">
        <v>130</v>
      </c>
      <c r="BA124" s="3">
        <v>119</v>
      </c>
      <c r="BB124" s="3">
        <v>1.0601471533543601</v>
      </c>
      <c r="BC124" s="3">
        <v>1.0537280343828577</v>
      </c>
      <c r="BD124" s="3">
        <v>0.93473401362602437</v>
      </c>
      <c r="BE124" s="3">
        <v>0.47036855082170115</v>
      </c>
      <c r="BG124" s="3">
        <v>-2.5730189266573861E-3</v>
      </c>
      <c r="BH124" s="3">
        <v>-3.0834357819377878E-3</v>
      </c>
      <c r="BI124" s="3">
        <v>-2.6960772063036875E-3</v>
      </c>
      <c r="BJ124" s="3">
        <v>-1.6382462156984134E-3</v>
      </c>
    </row>
    <row r="125" spans="1:62" x14ac:dyDescent="0.2">
      <c r="A125" s="3" t="s">
        <v>133</v>
      </c>
      <c r="B125" s="3">
        <v>75.400000000000006</v>
      </c>
      <c r="C125" s="3">
        <v>88.3</v>
      </c>
      <c r="D125" s="3">
        <v>16.86</v>
      </c>
      <c r="E125" s="3">
        <v>64.25</v>
      </c>
      <c r="F125" s="3">
        <v>54.55</v>
      </c>
      <c r="G125" s="3">
        <v>193.9</v>
      </c>
      <c r="H125" s="3">
        <v>41.35</v>
      </c>
      <c r="I125" s="3">
        <v>124.1</v>
      </c>
      <c r="J125" s="3">
        <v>11.76</v>
      </c>
      <c r="K125" s="3">
        <v>95.65</v>
      </c>
      <c r="L125" s="3">
        <v>26895.439452999999</v>
      </c>
      <c r="N125" s="5">
        <v>5.9504307806310663E-3</v>
      </c>
      <c r="O125" s="5">
        <v>4.5197817056195078E-3</v>
      </c>
      <c r="P125" s="5">
        <v>3.5524016043679829E-3</v>
      </c>
      <c r="Q125" s="5">
        <v>7.7790746824479839E-4</v>
      </c>
      <c r="R125" s="5">
        <v>1.0032003879789197E-2</v>
      </c>
      <c r="S125" s="5">
        <v>6.1696853804598106E-3</v>
      </c>
      <c r="T125" s="5">
        <v>-1.7073585475880559E-2</v>
      </c>
      <c r="U125" s="5">
        <v>1.8363789502195971E-2</v>
      </c>
      <c r="V125" s="5">
        <v>8.4674510990985219E-3</v>
      </c>
      <c r="W125" s="5">
        <v>5.2137761485262502E-3</v>
      </c>
      <c r="X125" s="5">
        <v>2.5933513240445905E-3</v>
      </c>
      <c r="AZ125" s="3" t="s">
        <v>131</v>
      </c>
      <c r="BA125" s="3">
        <v>120</v>
      </c>
      <c r="BB125" s="3">
        <v>1.0574228809689288</v>
      </c>
      <c r="BC125" s="3">
        <v>1.0504839357124633</v>
      </c>
      <c r="BD125" s="3">
        <v>0.9322172927193344</v>
      </c>
      <c r="BE125" s="3">
        <v>0.46959860217826194</v>
      </c>
      <c r="BG125" s="3">
        <v>3.8995473836855032E-3</v>
      </c>
      <c r="BH125" s="3">
        <v>3.431171136966546E-3</v>
      </c>
      <c r="BI125" s="3">
        <v>4.7412760231319018E-5</v>
      </c>
      <c r="BJ125" s="3">
        <v>-4.9707639795579794E-3</v>
      </c>
    </row>
    <row r="126" spans="1:62" x14ac:dyDescent="0.2">
      <c r="A126" s="3" t="s">
        <v>134</v>
      </c>
      <c r="B126" s="3">
        <v>75.849999999999994</v>
      </c>
      <c r="C126" s="3">
        <v>88.7</v>
      </c>
      <c r="D126" s="3">
        <v>16.920000000000002</v>
      </c>
      <c r="E126" s="3">
        <v>64.3</v>
      </c>
      <c r="F126" s="3">
        <v>55.1</v>
      </c>
      <c r="G126" s="3">
        <v>195.1</v>
      </c>
      <c r="H126" s="3">
        <v>40.65</v>
      </c>
      <c r="I126" s="3">
        <v>126.4</v>
      </c>
      <c r="J126" s="3">
        <v>11.86</v>
      </c>
      <c r="K126" s="3">
        <v>96.15</v>
      </c>
      <c r="L126" s="3">
        <v>26965.279297000001</v>
      </c>
      <c r="N126" s="5">
        <v>8.5330350379484443E-3</v>
      </c>
      <c r="O126" s="5">
        <v>2.1194323733399578E-2</v>
      </c>
      <c r="P126" s="5">
        <v>7.0671672230919746E-3</v>
      </c>
      <c r="Q126" s="5">
        <v>1.4666414959228824E-2</v>
      </c>
      <c r="R126" s="5">
        <v>1.4414664002184274E-2</v>
      </c>
      <c r="S126" s="5">
        <v>1.8283901928705326E-2</v>
      </c>
      <c r="T126" s="5">
        <v>1.46522767868702E-2</v>
      </c>
      <c r="U126" s="5">
        <v>1.9585428232384849E-2</v>
      </c>
      <c r="V126" s="5">
        <v>8.3963549529064707E-3</v>
      </c>
      <c r="W126" s="5">
        <v>2.1605778714581803E-2</v>
      </c>
      <c r="X126" s="5">
        <v>2.2491496221185514E-2</v>
      </c>
      <c r="AZ126" s="3" t="s">
        <v>132</v>
      </c>
      <c r="BA126" s="3">
        <v>121</v>
      </c>
      <c r="BB126" s="3">
        <v>1.0615544018931797</v>
      </c>
      <c r="BC126" s="3">
        <v>1.054094516590715</v>
      </c>
      <c r="BD126" s="3">
        <v>0.93226149276213233</v>
      </c>
      <c r="BE126" s="3">
        <v>0.46727013029819542</v>
      </c>
      <c r="BG126" s="3">
        <v>3.4532525435377673E-3</v>
      </c>
      <c r="BH126" s="3">
        <v>2.7905477648553223E-3</v>
      </c>
      <c r="BI126" s="3">
        <v>-1.8632781081786565E-3</v>
      </c>
      <c r="BJ126" s="3">
        <v>-8.6353403120550398E-3</v>
      </c>
    </row>
    <row r="127" spans="1:62" x14ac:dyDescent="0.2">
      <c r="A127" s="3" t="s">
        <v>135</v>
      </c>
      <c r="B127" s="3">
        <v>76.5</v>
      </c>
      <c r="C127" s="3">
        <v>90.6</v>
      </c>
      <c r="D127" s="3">
        <v>17.04</v>
      </c>
      <c r="E127" s="3">
        <v>65.25</v>
      </c>
      <c r="F127" s="3">
        <v>55.9</v>
      </c>
      <c r="G127" s="3">
        <v>198.7</v>
      </c>
      <c r="H127" s="3">
        <v>41.25</v>
      </c>
      <c r="I127" s="3">
        <v>128.9</v>
      </c>
      <c r="J127" s="3">
        <v>11.96</v>
      </c>
      <c r="K127" s="3">
        <v>98.25</v>
      </c>
      <c r="L127" s="3">
        <v>27578.640625</v>
      </c>
      <c r="N127" s="5">
        <v>3.9138993211365047E-3</v>
      </c>
      <c r="O127" s="5">
        <v>-5.5202871951109955E-4</v>
      </c>
      <c r="P127" s="5">
        <v>1.1668743834377437E-2</v>
      </c>
      <c r="Q127" s="5">
        <v>3.0604461531060778E-3</v>
      </c>
      <c r="R127" s="5">
        <v>8.9405459688141065E-4</v>
      </c>
      <c r="S127" s="5">
        <v>1.3496830726690945E-2</v>
      </c>
      <c r="T127" s="5">
        <v>6.0423144559624831E-3</v>
      </c>
      <c r="U127" s="5">
        <v>1.5503879074545424E-3</v>
      </c>
      <c r="V127" s="5">
        <v>2.1506205220963359E-2</v>
      </c>
      <c r="W127" s="5">
        <v>-3.5687012129059781E-3</v>
      </c>
      <c r="X127" s="5">
        <v>7.6109055917328305E-3</v>
      </c>
      <c r="AZ127" s="3" t="s">
        <v>133</v>
      </c>
      <c r="BA127" s="3">
        <v>122</v>
      </c>
      <c r="BB127" s="3">
        <v>1.0652265541169383</v>
      </c>
      <c r="BC127" s="3">
        <v>1.0570401257079094</v>
      </c>
      <c r="BD127" s="3">
        <v>0.93052604764211466</v>
      </c>
      <c r="BE127" s="3">
        <v>0.4632524656223862</v>
      </c>
      <c r="BG127" s="3">
        <v>4.5754137986458582E-3</v>
      </c>
      <c r="BH127" s="3">
        <v>4.6370464277562945E-3</v>
      </c>
      <c r="BI127" s="3">
        <v>6.7940743145386701E-3</v>
      </c>
      <c r="BJ127" s="3">
        <v>1.0433485928693642E-2</v>
      </c>
    </row>
    <row r="128" spans="1:62" x14ac:dyDescent="0.2">
      <c r="A128" s="3" t="s">
        <v>136</v>
      </c>
      <c r="B128" s="3">
        <v>76.8</v>
      </c>
      <c r="C128" s="3">
        <v>90.55</v>
      </c>
      <c r="D128" s="3">
        <v>17.239999999999998</v>
      </c>
      <c r="E128" s="3">
        <v>65.45</v>
      </c>
      <c r="F128" s="3">
        <v>55.95</v>
      </c>
      <c r="G128" s="3">
        <v>201.4</v>
      </c>
      <c r="H128" s="3">
        <v>41.5</v>
      </c>
      <c r="I128" s="3">
        <v>129.1</v>
      </c>
      <c r="J128" s="3">
        <v>12.22</v>
      </c>
      <c r="K128" s="3">
        <v>97.9</v>
      </c>
      <c r="L128" s="3">
        <v>27789.339843999998</v>
      </c>
      <c r="N128" s="5">
        <v>-1.2446934359084949E-2</v>
      </c>
      <c r="O128" s="5">
        <v>-1.951553433129849E-2</v>
      </c>
      <c r="P128" s="5">
        <v>-3.4863486794374232E-3</v>
      </c>
      <c r="Q128" s="5">
        <v>-1.152529084905396E-2</v>
      </c>
      <c r="R128" s="5">
        <v>-1.7889092427250119E-3</v>
      </c>
      <c r="S128" s="5">
        <v>-2.0060853285080782E-2</v>
      </c>
      <c r="T128" s="5">
        <v>-2.4391453124159135E-2</v>
      </c>
      <c r="U128" s="5">
        <v>-3.1473880379730979E-2</v>
      </c>
      <c r="V128" s="5">
        <v>-4.8626511440157394E-2</v>
      </c>
      <c r="W128" s="5">
        <v>-2.0640567647071784E-2</v>
      </c>
      <c r="X128" s="5">
        <v>-1.7455909665414993E-2</v>
      </c>
      <c r="AZ128" s="3" t="s">
        <v>134</v>
      </c>
      <c r="BA128" s="3">
        <v>123</v>
      </c>
      <c r="BB128" s="3">
        <v>1.0701115733614774</v>
      </c>
      <c r="BC128" s="3">
        <v>1.0619530517767337</v>
      </c>
      <c r="BD128" s="3">
        <v>0.93686963576461446</v>
      </c>
      <c r="BE128" s="3">
        <v>0.46811110590648336</v>
      </c>
      <c r="BG128" s="3">
        <v>1.485866595963295E-2</v>
      </c>
      <c r="BH128" s="3">
        <v>1.4750569394880023E-2</v>
      </c>
      <c r="BI128" s="3">
        <v>1.3486456556820139E-2</v>
      </c>
      <c r="BJ128" s="3">
        <v>1.1466798089853847E-2</v>
      </c>
    </row>
    <row r="129" spans="1:62" x14ac:dyDescent="0.2">
      <c r="A129" s="3" t="s">
        <v>137</v>
      </c>
      <c r="B129" s="3">
        <v>75.849999999999994</v>
      </c>
      <c r="C129" s="3">
        <v>88.8</v>
      </c>
      <c r="D129" s="3">
        <v>17.18</v>
      </c>
      <c r="E129" s="3">
        <v>64.7</v>
      </c>
      <c r="F129" s="3">
        <v>55.85</v>
      </c>
      <c r="G129" s="3">
        <v>197.4</v>
      </c>
      <c r="H129" s="3">
        <v>40.5</v>
      </c>
      <c r="I129" s="3">
        <v>125.1</v>
      </c>
      <c r="J129" s="3">
        <v>11.64</v>
      </c>
      <c r="K129" s="3">
        <v>95.9</v>
      </c>
      <c r="L129" s="3">
        <v>27308.460938</v>
      </c>
      <c r="N129" s="5">
        <v>-4.6250495395625535E-3</v>
      </c>
      <c r="O129" s="5">
        <v>3.9336943110255262E-3</v>
      </c>
      <c r="P129" s="5">
        <v>1.1634672632978571E-3</v>
      </c>
      <c r="Q129" s="5">
        <v>-6.2015702632809422E-3</v>
      </c>
      <c r="R129" s="5">
        <v>4.4662870134413168E-3</v>
      </c>
      <c r="S129" s="5">
        <v>-7.1174677688645716E-3</v>
      </c>
      <c r="T129" s="5">
        <v>1.4706147389695889E-2</v>
      </c>
      <c r="U129" s="5">
        <v>1.5974444291568801E-3</v>
      </c>
      <c r="V129" s="5">
        <v>-3.4423441909727792E-3</v>
      </c>
      <c r="W129" s="5">
        <v>-3.1331618320367127E-3</v>
      </c>
      <c r="X129" s="5">
        <v>-5.0363375673079247E-4</v>
      </c>
      <c r="AZ129" s="3" t="s">
        <v>135</v>
      </c>
      <c r="BA129" s="3">
        <v>124</v>
      </c>
      <c r="BB129" s="3">
        <v>1.086130720624195</v>
      </c>
      <c r="BC129" s="3">
        <v>1.0777335636034455</v>
      </c>
      <c r="BD129" s="3">
        <v>0.9495902727592076</v>
      </c>
      <c r="BE129" s="3">
        <v>0.4735097347809612</v>
      </c>
      <c r="BG129" s="3">
        <v>5.9864973000876009E-3</v>
      </c>
      <c r="BH129" s="3">
        <v>5.3566739947368408E-3</v>
      </c>
      <c r="BI129" s="3">
        <v>4.5948157438674767E-3</v>
      </c>
      <c r="BJ129" s="3">
        <v>1.7675852456542351E-3</v>
      </c>
    </row>
    <row r="130" spans="1:62" x14ac:dyDescent="0.2">
      <c r="A130" s="3" t="s">
        <v>138</v>
      </c>
      <c r="B130" s="3">
        <v>75.5</v>
      </c>
      <c r="C130" s="3">
        <v>89.15</v>
      </c>
      <c r="D130" s="3">
        <v>17.2</v>
      </c>
      <c r="E130" s="3">
        <v>64.3</v>
      </c>
      <c r="F130" s="3">
        <v>56.1</v>
      </c>
      <c r="G130" s="3">
        <v>196</v>
      </c>
      <c r="H130" s="3">
        <v>41.1</v>
      </c>
      <c r="I130" s="3">
        <v>125.3</v>
      </c>
      <c r="J130" s="3">
        <v>11.6</v>
      </c>
      <c r="K130" s="3">
        <v>95.6</v>
      </c>
      <c r="L130" s="3">
        <v>27294.710938</v>
      </c>
      <c r="N130" s="5">
        <v>-5.3120974848894775E-3</v>
      </c>
      <c r="O130" s="5">
        <v>-1.1223345734787671E-3</v>
      </c>
      <c r="P130" s="5">
        <v>-1.1634672632978571E-3</v>
      </c>
      <c r="Q130" s="5">
        <v>-7.8064408928302242E-3</v>
      </c>
      <c r="R130" s="5">
        <v>1.7809443709948525E-3</v>
      </c>
      <c r="S130" s="5">
        <v>-9.2261033732921049E-3</v>
      </c>
      <c r="T130" s="5">
        <v>-1.9656652549552067E-2</v>
      </c>
      <c r="U130" s="5">
        <v>4.7770791482788511E-3</v>
      </c>
      <c r="V130" s="5">
        <v>-8.6580627431147583E-3</v>
      </c>
      <c r="W130" s="5">
        <v>-1.9007964045177239E-2</v>
      </c>
      <c r="X130" s="5">
        <v>-6.4823387913026664E-3</v>
      </c>
      <c r="AZ130" s="3" t="s">
        <v>136</v>
      </c>
      <c r="BA130" s="3">
        <v>125</v>
      </c>
      <c r="BB130" s="3">
        <v>1.0926523406040669</v>
      </c>
      <c r="BC130" s="3">
        <v>1.0835221208224388</v>
      </c>
      <c r="BD130" s="3">
        <v>0.95396350449763612</v>
      </c>
      <c r="BE130" s="3">
        <v>0.47434744374472743</v>
      </c>
      <c r="BG130" s="3">
        <v>-1.966998569729439E-2</v>
      </c>
      <c r="BH130" s="3">
        <v>-1.6870186334355108E-2</v>
      </c>
      <c r="BI130" s="3">
        <v>-9.4149342021428925E-3</v>
      </c>
      <c r="BJ130" s="3">
        <v>6.3197797908819409E-3</v>
      </c>
    </row>
    <row r="131" spans="1:62" x14ac:dyDescent="0.2">
      <c r="A131" s="3" t="s">
        <v>139</v>
      </c>
      <c r="B131" s="3">
        <v>75.099999999999994</v>
      </c>
      <c r="C131" s="3">
        <v>89.05</v>
      </c>
      <c r="D131" s="3">
        <v>17.18</v>
      </c>
      <c r="E131" s="3">
        <v>63.8</v>
      </c>
      <c r="F131" s="3">
        <v>56.2</v>
      </c>
      <c r="G131" s="3">
        <v>194.2</v>
      </c>
      <c r="H131" s="3">
        <v>40.299999999999997</v>
      </c>
      <c r="I131" s="3">
        <v>125.9</v>
      </c>
      <c r="J131" s="3">
        <v>11.5</v>
      </c>
      <c r="K131" s="3">
        <v>93.8</v>
      </c>
      <c r="L131" s="3">
        <v>27118.349609000001</v>
      </c>
      <c r="N131" s="5">
        <v>3.3233663024150317E-3</v>
      </c>
      <c r="O131" s="5">
        <v>0</v>
      </c>
      <c r="P131" s="5">
        <v>-2.3310033864758495E-3</v>
      </c>
      <c r="Q131" s="5">
        <v>6.2500203451714142E-3</v>
      </c>
      <c r="R131" s="5">
        <v>5.3238812527496293E-3</v>
      </c>
      <c r="S131" s="5">
        <v>1.5436072012766644E-3</v>
      </c>
      <c r="T131" s="5">
        <v>0</v>
      </c>
      <c r="U131" s="5">
        <v>8.6991454082898656E-3</v>
      </c>
      <c r="V131" s="5">
        <v>2.0654779030746084E-2</v>
      </c>
      <c r="W131" s="5">
        <v>1.0655302020383672E-3</v>
      </c>
      <c r="X131" s="5">
        <v>4.0044041493345617E-3</v>
      </c>
      <c r="AZ131" s="3" t="s">
        <v>137</v>
      </c>
      <c r="BA131" s="3">
        <v>126</v>
      </c>
      <c r="BB131" s="3">
        <v>1.0713698836960053</v>
      </c>
      <c r="BC131" s="3">
        <v>1.0653962242616193</v>
      </c>
      <c r="BD131" s="3">
        <v>0.94502414862788586</v>
      </c>
      <c r="BE131" s="3">
        <v>0.47735470774762323</v>
      </c>
      <c r="BG131" s="3">
        <v>2.8937950445913352E-4</v>
      </c>
      <c r="BH131" s="3">
        <v>3.1089877193044013E-4</v>
      </c>
      <c r="BI131" s="3">
        <v>3.6616909544922166E-3</v>
      </c>
      <c r="BJ131" s="3">
        <v>7.8414770812191836E-3</v>
      </c>
    </row>
    <row r="132" spans="1:62" x14ac:dyDescent="0.2">
      <c r="A132" s="3" t="s">
        <v>140</v>
      </c>
      <c r="B132" s="3">
        <v>75.349999999999994</v>
      </c>
      <c r="C132" s="3">
        <v>89.05</v>
      </c>
      <c r="D132" s="3">
        <v>17.14</v>
      </c>
      <c r="E132" s="3">
        <v>64.2</v>
      </c>
      <c r="F132" s="3">
        <v>56.5</v>
      </c>
      <c r="G132" s="3">
        <v>194.5</v>
      </c>
      <c r="H132" s="3">
        <v>40.299999999999997</v>
      </c>
      <c r="I132" s="3">
        <v>127</v>
      </c>
      <c r="J132" s="3">
        <v>11.74</v>
      </c>
      <c r="K132" s="3">
        <v>93.9</v>
      </c>
      <c r="L132" s="3">
        <v>27227.160156000002</v>
      </c>
      <c r="N132" s="5">
        <v>0</v>
      </c>
      <c r="O132" s="5">
        <v>-3.9381204201367481E-3</v>
      </c>
      <c r="P132" s="5">
        <v>2.3310033864758495E-3</v>
      </c>
      <c r="Q132" s="5">
        <v>-2.3391823531717648E-3</v>
      </c>
      <c r="R132" s="5">
        <v>0</v>
      </c>
      <c r="S132" s="5">
        <v>2.0544434550133772E-3</v>
      </c>
      <c r="T132" s="5">
        <v>7.4165976550499835E-3</v>
      </c>
      <c r="U132" s="5">
        <v>2.4884643315877142E-2</v>
      </c>
      <c r="V132" s="5">
        <v>1.8565934122535488E-2</v>
      </c>
      <c r="W132" s="5">
        <v>1.4799424445939735E-2</v>
      </c>
      <c r="X132" s="5">
        <v>9.9262490997826802E-3</v>
      </c>
      <c r="AZ132" s="3" t="s">
        <v>138</v>
      </c>
      <c r="BA132" s="3">
        <v>127</v>
      </c>
      <c r="BB132" s="3">
        <v>1.0716799610448926</v>
      </c>
      <c r="BC132" s="3">
        <v>1.0657275061342568</v>
      </c>
      <c r="BD132" s="3">
        <v>0.94849087817732369</v>
      </c>
      <c r="BE132" s="3">
        <v>0.48111258815899982</v>
      </c>
      <c r="BG132" s="3">
        <v>-6.5365117763340197E-3</v>
      </c>
      <c r="BH132" s="3">
        <v>-5.7296908697732629E-3</v>
      </c>
      <c r="BI132" s="3">
        <v>1.7542259087278272E-4</v>
      </c>
      <c r="BJ132" s="3">
        <v>9.3181343803516725E-3</v>
      </c>
    </row>
    <row r="133" spans="1:62" x14ac:dyDescent="0.2">
      <c r="A133" s="3" t="s">
        <v>141</v>
      </c>
      <c r="B133" s="3">
        <v>75.349999999999994</v>
      </c>
      <c r="C133" s="3">
        <v>88.7</v>
      </c>
      <c r="D133" s="3">
        <v>17.18</v>
      </c>
      <c r="E133" s="3">
        <v>64.05</v>
      </c>
      <c r="F133" s="3">
        <v>56.5</v>
      </c>
      <c r="G133" s="3">
        <v>194.9</v>
      </c>
      <c r="H133" s="3">
        <v>40.6</v>
      </c>
      <c r="I133" s="3">
        <v>130.19999999999999</v>
      </c>
      <c r="J133" s="3">
        <v>11.96</v>
      </c>
      <c r="K133" s="3">
        <v>95.3</v>
      </c>
      <c r="L133" s="3">
        <v>27498.769531000002</v>
      </c>
      <c r="N133" s="5">
        <v>2.1661496781179679E-2</v>
      </c>
      <c r="O133" s="5">
        <v>8.4199206391941672E-3</v>
      </c>
      <c r="P133" s="5">
        <v>1.0422792676094694E-2</v>
      </c>
      <c r="Q133" s="5">
        <v>1.7028275228110346E-2</v>
      </c>
      <c r="R133" s="5">
        <v>8.8106296821548469E-3</v>
      </c>
      <c r="S133" s="5">
        <v>2.533063499283994E-2</v>
      </c>
      <c r="T133" s="5">
        <v>2.1925360628965329E-2</v>
      </c>
      <c r="U133" s="5">
        <v>1.2213892293938322E-2</v>
      </c>
      <c r="V133" s="5">
        <v>1.6584128015534993E-2</v>
      </c>
      <c r="W133" s="5">
        <v>1.1476390956342897E-2</v>
      </c>
      <c r="X133" s="5">
        <v>2.5256624406898354E-2</v>
      </c>
      <c r="AZ133" s="3" t="s">
        <v>139</v>
      </c>
      <c r="BA133" s="3">
        <v>128</v>
      </c>
      <c r="BB133" s="3">
        <v>1.0646977568491489</v>
      </c>
      <c r="BC133" s="3">
        <v>1.0596386771842006</v>
      </c>
      <c r="BD133" s="3">
        <v>0.94865727949944156</v>
      </c>
      <c r="BE133" s="3">
        <v>0.48561661186719929</v>
      </c>
      <c r="BG133" s="3">
        <v>4.4424250399843213E-3</v>
      </c>
      <c r="BH133" s="3">
        <v>3.7906355934079899E-3</v>
      </c>
      <c r="BI133" s="3">
        <v>2.3027605741249846E-3</v>
      </c>
      <c r="BJ133" s="3">
        <v>-3.6864576590622811E-4</v>
      </c>
    </row>
    <row r="134" spans="1:62" x14ac:dyDescent="0.2">
      <c r="A134" s="3" t="s">
        <v>142</v>
      </c>
      <c r="B134" s="3">
        <v>77</v>
      </c>
      <c r="C134" s="3">
        <v>89.45</v>
      </c>
      <c r="D134" s="3">
        <v>17.36</v>
      </c>
      <c r="E134" s="3">
        <v>65.150000000000006</v>
      </c>
      <c r="F134" s="3">
        <v>57</v>
      </c>
      <c r="G134" s="3">
        <v>199.9</v>
      </c>
      <c r="H134" s="3">
        <v>41.5</v>
      </c>
      <c r="I134" s="3">
        <v>131.80000000000001</v>
      </c>
      <c r="J134" s="3">
        <v>12.16</v>
      </c>
      <c r="K134" s="3">
        <v>96.4</v>
      </c>
      <c r="L134" s="3">
        <v>28202.140625</v>
      </c>
      <c r="N134" s="5">
        <v>1.2262173650101182E-2</v>
      </c>
      <c r="O134" s="5">
        <v>8.9037872582622413E-3</v>
      </c>
      <c r="P134" s="5">
        <v>1.4865911275829369E-2</v>
      </c>
      <c r="Q134" s="5">
        <v>7.6716536175336358E-4</v>
      </c>
      <c r="R134" s="5">
        <v>-8.7757794135878697E-4</v>
      </c>
      <c r="S134" s="5">
        <v>3.4956340214806758E-3</v>
      </c>
      <c r="T134" s="5">
        <v>2.7333846701035558E-2</v>
      </c>
      <c r="U134" s="5">
        <v>1.9534806020642392E-2</v>
      </c>
      <c r="V134" s="5">
        <v>2.2765210773012523E-2</v>
      </c>
      <c r="W134" s="5">
        <v>-2.596729581711088E-3</v>
      </c>
      <c r="X134" s="5">
        <v>1.2274102605445592E-2</v>
      </c>
      <c r="AZ134" s="3" t="s">
        <v>140</v>
      </c>
      <c r="BA134" s="3">
        <v>129</v>
      </c>
      <c r="BB134" s="3">
        <v>1.0694381183785968</v>
      </c>
      <c r="BC134" s="3">
        <v>1.0636630038292296</v>
      </c>
      <c r="BD134" s="3">
        <v>0.95084432723824364</v>
      </c>
      <c r="BE134" s="3">
        <v>0.48543762435290239</v>
      </c>
      <c r="BG134" s="3">
        <v>6.7758214251718157E-3</v>
      </c>
      <c r="BH134" s="3">
        <v>4.9655072395645983E-3</v>
      </c>
      <c r="BI134" s="3">
        <v>8.3974823453824426E-4</v>
      </c>
      <c r="BJ134" s="3">
        <v>-7.7862315184095143E-3</v>
      </c>
    </row>
    <row r="135" spans="1:62" x14ac:dyDescent="0.2">
      <c r="A135" s="3" t="s">
        <v>143</v>
      </c>
      <c r="B135" s="3">
        <v>77.95</v>
      </c>
      <c r="C135" s="3">
        <v>90.25</v>
      </c>
      <c r="D135" s="3">
        <v>17.62</v>
      </c>
      <c r="E135" s="3">
        <v>65.2</v>
      </c>
      <c r="F135" s="3">
        <v>56.95</v>
      </c>
      <c r="G135" s="3">
        <v>200.6</v>
      </c>
      <c r="H135" s="3">
        <v>42.65</v>
      </c>
      <c r="I135" s="3">
        <v>134.4</v>
      </c>
      <c r="J135" s="3">
        <v>12.44</v>
      </c>
      <c r="K135" s="3">
        <v>96.15</v>
      </c>
      <c r="L135" s="3">
        <v>28550.429688</v>
      </c>
      <c r="N135" s="5">
        <v>-5.1447058812374991E-3</v>
      </c>
      <c r="O135" s="5">
        <v>-4.3595921402980409E-2</v>
      </c>
      <c r="P135" s="5">
        <v>-6.8337395785649235E-3</v>
      </c>
      <c r="Q135" s="5">
        <v>-8.471363714740221E-3</v>
      </c>
      <c r="R135" s="5">
        <v>-8.7834876090653324E-4</v>
      </c>
      <c r="S135" s="5">
        <v>-2.3198216297318552E-2</v>
      </c>
      <c r="T135" s="5">
        <v>-9.4229201345052971E-3</v>
      </c>
      <c r="U135" s="5">
        <v>-1.0471299867295336E-2</v>
      </c>
      <c r="V135" s="5">
        <v>-8.0710688337917169E-3</v>
      </c>
      <c r="W135" s="5">
        <v>-3.6467870579741657E-3</v>
      </c>
      <c r="X135" s="5">
        <v>-2.6907480041096221E-3</v>
      </c>
      <c r="AZ135" s="3" t="s">
        <v>141</v>
      </c>
      <c r="BA135" s="3">
        <v>130</v>
      </c>
      <c r="BB135" s="3">
        <v>1.0767090455275823</v>
      </c>
      <c r="BC135" s="3">
        <v>1.0689577648832933</v>
      </c>
      <c r="BD135" s="3">
        <v>0.95164313243404752</v>
      </c>
      <c r="BE135" s="3">
        <v>0.48167257143027908</v>
      </c>
      <c r="BG135" s="3">
        <v>1.5270600899252029E-2</v>
      </c>
      <c r="BH135" s="3">
        <v>1.4711720414571736E-2</v>
      </c>
      <c r="BI135" s="3">
        <v>1.0311675445820845E-2</v>
      </c>
      <c r="BJ135" s="3">
        <v>3.2395602191862549E-3</v>
      </c>
    </row>
    <row r="136" spans="1:62" x14ac:dyDescent="0.2">
      <c r="A136" s="3" t="s">
        <v>144</v>
      </c>
      <c r="B136" s="3">
        <v>77.55</v>
      </c>
      <c r="C136" s="3">
        <v>86.4</v>
      </c>
      <c r="D136" s="3">
        <v>17.5</v>
      </c>
      <c r="E136" s="3">
        <v>64.650000000000006</v>
      </c>
      <c r="F136" s="3">
        <v>56.9</v>
      </c>
      <c r="G136" s="3">
        <v>196</v>
      </c>
      <c r="H136" s="3">
        <v>42.25</v>
      </c>
      <c r="I136" s="3">
        <v>133</v>
      </c>
      <c r="J136" s="3">
        <v>12.34</v>
      </c>
      <c r="K136" s="3">
        <v>95.8</v>
      </c>
      <c r="L136" s="3">
        <v>28473.710938</v>
      </c>
      <c r="N136" s="5">
        <v>-1.1021181249337708E-2</v>
      </c>
      <c r="O136" s="5">
        <v>4.6189458562944097E-3</v>
      </c>
      <c r="P136" s="5">
        <v>9.1013142463451935E-3</v>
      </c>
      <c r="Q136" s="5">
        <v>-4.6511711757313279E-3</v>
      </c>
      <c r="R136" s="5">
        <v>-8.8261826282716171E-3</v>
      </c>
      <c r="S136" s="5">
        <v>-3.0659196218341123E-3</v>
      </c>
      <c r="T136" s="5">
        <v>2.800649790821863E-2</v>
      </c>
      <c r="U136" s="5">
        <v>1.121507082013995E-2</v>
      </c>
      <c r="V136" s="5">
        <v>4.8504541337495155E-3</v>
      </c>
      <c r="W136" s="5">
        <v>4.686288191079413E-3</v>
      </c>
      <c r="X136" s="5">
        <v>1.3788852726683842E-3</v>
      </c>
      <c r="AZ136" s="3" t="s">
        <v>142</v>
      </c>
      <c r="BA136" s="3">
        <v>131</v>
      </c>
      <c r="BB136" s="3">
        <v>1.0932772206800994</v>
      </c>
      <c r="BC136" s="3">
        <v>1.0848002218166735</v>
      </c>
      <c r="BD136" s="3">
        <v>0.9615069363262484</v>
      </c>
      <c r="BE136" s="3">
        <v>0.48323550897962636</v>
      </c>
      <c r="BG136" s="3">
        <v>1.1025481585405811E-2</v>
      </c>
      <c r="BH136" s="3">
        <v>9.5608851246114374E-3</v>
      </c>
      <c r="BI136" s="3">
        <v>8.9338175277315773E-3</v>
      </c>
      <c r="BJ136" s="3">
        <v>4.3190206108701945E-3</v>
      </c>
    </row>
    <row r="137" spans="1:62" x14ac:dyDescent="0.2">
      <c r="A137" s="3" t="s">
        <v>145</v>
      </c>
      <c r="B137" s="3">
        <v>76.7</v>
      </c>
      <c r="C137" s="3">
        <v>86.8</v>
      </c>
      <c r="D137" s="3">
        <v>17.66</v>
      </c>
      <c r="E137" s="3">
        <v>64.349999999999994</v>
      </c>
      <c r="F137" s="3">
        <v>56.4</v>
      </c>
      <c r="G137" s="3">
        <v>195.4</v>
      </c>
      <c r="H137" s="3">
        <v>43.45</v>
      </c>
      <c r="I137" s="3">
        <v>134.5</v>
      </c>
      <c r="J137" s="3">
        <v>12.4</v>
      </c>
      <c r="K137" s="3">
        <v>96.25</v>
      </c>
      <c r="L137" s="3">
        <v>28513</v>
      </c>
      <c r="N137" s="5">
        <v>-3.9190122007353168E-3</v>
      </c>
      <c r="O137" s="5">
        <v>-6.936443996656827E-3</v>
      </c>
      <c r="P137" s="5">
        <v>0</v>
      </c>
      <c r="Q137" s="5">
        <v>-3.8925701155116954E-3</v>
      </c>
      <c r="R137" s="5">
        <v>0</v>
      </c>
      <c r="S137" s="5">
        <v>-1.23585507037971E-2</v>
      </c>
      <c r="T137" s="5">
        <v>-9.2486208376616474E-3</v>
      </c>
      <c r="U137" s="5">
        <v>-5.9657149339962245E-3</v>
      </c>
      <c r="V137" s="5">
        <v>-8.097210232619112E-3</v>
      </c>
      <c r="W137" s="5">
        <v>-2.6007817000577305E-3</v>
      </c>
      <c r="X137" s="5">
        <v>-1.1535415788680226E-2</v>
      </c>
      <c r="AZ137" s="3" t="s">
        <v>143</v>
      </c>
      <c r="BA137" s="3">
        <v>132</v>
      </c>
      <c r="BB137" s="3">
        <v>1.1053978235033528</v>
      </c>
      <c r="BC137" s="3">
        <v>1.0952216115905782</v>
      </c>
      <c r="BD137" s="3">
        <v>0.97013534879000518</v>
      </c>
      <c r="BE137" s="3">
        <v>0.4853271267214741</v>
      </c>
      <c r="BG137" s="3">
        <v>-1.1791875267928145E-2</v>
      </c>
      <c r="BH137" s="3">
        <v>-1.1873270954290999E-2</v>
      </c>
      <c r="BI137" s="3">
        <v>-1.368520480699547E-2</v>
      </c>
      <c r="BJ137" s="3">
        <v>-1.4589547348427212E-2</v>
      </c>
    </row>
    <row r="138" spans="1:62" x14ac:dyDescent="0.2">
      <c r="A138" s="3" t="s">
        <v>146</v>
      </c>
      <c r="B138" s="3">
        <v>76.400000000000006</v>
      </c>
      <c r="C138" s="3">
        <v>86.2</v>
      </c>
      <c r="D138" s="3">
        <v>17.66</v>
      </c>
      <c r="E138" s="3">
        <v>64.099999999999994</v>
      </c>
      <c r="F138" s="3">
        <v>56.4</v>
      </c>
      <c r="G138" s="3">
        <v>193</v>
      </c>
      <c r="H138" s="3">
        <v>43.05</v>
      </c>
      <c r="I138" s="3">
        <v>133.69999999999999</v>
      </c>
      <c r="J138" s="3">
        <v>12.3</v>
      </c>
      <c r="K138" s="3">
        <v>96</v>
      </c>
      <c r="L138" s="3">
        <v>28185.980468999998</v>
      </c>
      <c r="N138" s="5">
        <v>9.7688826366955084E-3</v>
      </c>
      <c r="O138" s="5">
        <v>-6.9848945219517233E-3</v>
      </c>
      <c r="P138" s="5">
        <v>-1.5982075338567991E-2</v>
      </c>
      <c r="Q138" s="5">
        <v>7.7972713502116875E-4</v>
      </c>
      <c r="R138" s="5">
        <v>8.8613209165799844E-4</v>
      </c>
      <c r="S138" s="5">
        <v>3.1039859375914247E-3</v>
      </c>
      <c r="T138" s="5">
        <v>-1.4035318116383255E-2</v>
      </c>
      <c r="U138" s="5">
        <v>-1.7352378057386986E-2</v>
      </c>
      <c r="V138" s="5">
        <v>-9.8040000966213015E-3</v>
      </c>
      <c r="W138" s="5">
        <v>-7.3183808076793255E-3</v>
      </c>
      <c r="X138" s="5">
        <v>1.2764157501550244E-3</v>
      </c>
      <c r="AZ138" s="3" t="s">
        <v>144</v>
      </c>
      <c r="BA138" s="3">
        <v>133</v>
      </c>
      <c r="BB138" s="3">
        <v>1.0924396609161762</v>
      </c>
      <c r="BC138" s="3">
        <v>1.0822946432044211</v>
      </c>
      <c r="BD138" s="3">
        <v>0.95694928066796803</v>
      </c>
      <c r="BE138" s="3">
        <v>0.47829782547304428</v>
      </c>
      <c r="BG138" s="3">
        <v>4.1430808392940999E-3</v>
      </c>
      <c r="BH138" s="3">
        <v>2.7492029621252051E-3</v>
      </c>
      <c r="BI138" s="3">
        <v>5.6450414244672842E-4</v>
      </c>
      <c r="BJ138" s="3">
        <v>-6.6056028521547239E-3</v>
      </c>
    </row>
    <row r="139" spans="1:62" x14ac:dyDescent="0.2">
      <c r="A139" s="3" t="s">
        <v>147</v>
      </c>
      <c r="B139" s="3">
        <v>77.150000000000006</v>
      </c>
      <c r="C139" s="3">
        <v>85.6</v>
      </c>
      <c r="D139" s="3">
        <v>17.38</v>
      </c>
      <c r="E139" s="3">
        <v>64.150000000000006</v>
      </c>
      <c r="F139" s="3">
        <v>56.45</v>
      </c>
      <c r="G139" s="3">
        <v>193.6</v>
      </c>
      <c r="H139" s="3">
        <v>42.45</v>
      </c>
      <c r="I139" s="3">
        <v>131.4</v>
      </c>
      <c r="J139" s="3">
        <v>12.18</v>
      </c>
      <c r="K139" s="3">
        <v>95.3</v>
      </c>
      <c r="L139" s="3">
        <v>28221.980468999998</v>
      </c>
      <c r="N139" s="5">
        <v>1.3518068742095046E-2</v>
      </c>
      <c r="O139" s="5">
        <v>1.1614532420693102E-2</v>
      </c>
      <c r="P139" s="5">
        <v>9.1638671067912902E-3</v>
      </c>
      <c r="Q139" s="5">
        <v>1.3932113896869325E-2</v>
      </c>
      <c r="R139" s="5">
        <v>2.6536946134658734E-3</v>
      </c>
      <c r="S139" s="5">
        <v>1.8424267326057731E-2</v>
      </c>
      <c r="T139" s="5">
        <v>1.7513582492708402E-2</v>
      </c>
      <c r="U139" s="5">
        <v>1.2854619350555652E-2</v>
      </c>
      <c r="V139" s="5">
        <v>9.8040000966213015E-3</v>
      </c>
      <c r="W139" s="5">
        <v>5.232874316657643E-3</v>
      </c>
      <c r="X139" s="5">
        <v>1.4054262239074689E-2</v>
      </c>
      <c r="AZ139" s="3" t="s">
        <v>145</v>
      </c>
      <c r="BA139" s="3">
        <v>134</v>
      </c>
      <c r="BB139" s="3">
        <v>1.0969751156335383</v>
      </c>
      <c r="BC139" s="3">
        <v>1.0852741846488501</v>
      </c>
      <c r="BD139" s="3">
        <v>0.95748963500279738</v>
      </c>
      <c r="BE139" s="3">
        <v>0.47514879207531596</v>
      </c>
      <c r="BG139" s="3">
        <v>-5.3165192246939774E-3</v>
      </c>
      <c r="BH139" s="3">
        <v>-4.7508581816196466E-3</v>
      </c>
      <c r="BI139" s="3">
        <v>-2.4722931220216987E-3</v>
      </c>
      <c r="BJ139" s="3">
        <v>2.1373422555754917E-3</v>
      </c>
    </row>
    <row r="140" spans="1:62" x14ac:dyDescent="0.2">
      <c r="A140" s="3" t="s">
        <v>148</v>
      </c>
      <c r="B140" s="3">
        <v>78.2</v>
      </c>
      <c r="C140" s="3">
        <v>86.6</v>
      </c>
      <c r="D140" s="3">
        <v>17.54</v>
      </c>
      <c r="E140" s="3">
        <v>65.05</v>
      </c>
      <c r="F140" s="3">
        <v>56.6</v>
      </c>
      <c r="G140" s="3">
        <v>197.2</v>
      </c>
      <c r="H140" s="3">
        <v>43.2</v>
      </c>
      <c r="I140" s="3">
        <v>133.1</v>
      </c>
      <c r="J140" s="3">
        <v>12.3</v>
      </c>
      <c r="K140" s="3">
        <v>95.8</v>
      </c>
      <c r="L140" s="3">
        <v>28621.419922000001</v>
      </c>
      <c r="N140" s="5">
        <v>-1.5464225697581213E-2</v>
      </c>
      <c r="O140" s="5">
        <v>-4.6296378987413789E-3</v>
      </c>
      <c r="P140" s="5">
        <v>-1.2622083809747942E-2</v>
      </c>
      <c r="Q140" s="5">
        <v>-3.8506016002859411E-3</v>
      </c>
      <c r="R140" s="5">
        <v>-7.0922283094914107E-3</v>
      </c>
      <c r="S140" s="5">
        <v>-1.3786279110033384E-2</v>
      </c>
      <c r="T140" s="5">
        <v>-3.4782643763251464E-3</v>
      </c>
      <c r="U140" s="5">
        <v>-4.5180799747894795E-3</v>
      </c>
      <c r="V140" s="5">
        <v>-6.525308634922844E-3</v>
      </c>
      <c r="W140" s="5">
        <v>2.0855064910216825E-3</v>
      </c>
      <c r="X140" s="5">
        <v>-2.7570071046749689E-3</v>
      </c>
      <c r="AZ140" s="3" t="s">
        <v>146</v>
      </c>
      <c r="BA140" s="3">
        <v>135</v>
      </c>
      <c r="BB140" s="3">
        <v>1.0911585021117918</v>
      </c>
      <c r="BC140" s="3">
        <v>1.0801304292105378</v>
      </c>
      <c r="BD140" s="3">
        <v>0.95512536375379464</v>
      </c>
      <c r="BE140" s="3">
        <v>0.47616543373487186</v>
      </c>
      <c r="BG140" s="3">
        <v>-6.3287858342952336E-3</v>
      </c>
      <c r="BH140" s="3">
        <v>-5.4672623961039557E-3</v>
      </c>
      <c r="BI140" s="3">
        <v>-5.9436091969274005E-3</v>
      </c>
      <c r="BJ140" s="3">
        <v>-3.8154373791734475E-3</v>
      </c>
    </row>
    <row r="141" spans="1:62" x14ac:dyDescent="0.2">
      <c r="A141" s="3" t="s">
        <v>149</v>
      </c>
      <c r="B141" s="3">
        <v>77</v>
      </c>
      <c r="C141" s="3">
        <v>86.2</v>
      </c>
      <c r="D141" s="3">
        <v>17.32</v>
      </c>
      <c r="E141" s="3">
        <v>64.8</v>
      </c>
      <c r="F141" s="3">
        <v>56.2</v>
      </c>
      <c r="G141" s="3">
        <v>194.5</v>
      </c>
      <c r="H141" s="3">
        <v>43.05</v>
      </c>
      <c r="I141" s="3">
        <v>132.5</v>
      </c>
      <c r="J141" s="3">
        <v>12.22</v>
      </c>
      <c r="K141" s="3">
        <v>96</v>
      </c>
      <c r="L141" s="3">
        <v>28542.619140999999</v>
      </c>
      <c r="N141" s="5">
        <v>1.2978587155991761E-3</v>
      </c>
      <c r="O141" s="5">
        <v>1.3252858910417942E-2</v>
      </c>
      <c r="P141" s="5">
        <v>1.2622083809747942E-2</v>
      </c>
      <c r="Q141" s="5">
        <v>8.4518367120027804E-3</v>
      </c>
      <c r="R141" s="5">
        <v>2.112754642587511E-2</v>
      </c>
      <c r="S141" s="5">
        <v>6.1507113435288474E-3</v>
      </c>
      <c r="T141" s="5">
        <v>5.7904041347045521E-3</v>
      </c>
      <c r="U141" s="5">
        <v>7.5443232548533246E-4</v>
      </c>
      <c r="V141" s="5">
        <v>2.1053409197832273E-2</v>
      </c>
      <c r="W141" s="5">
        <v>6.7480141865035037E-3</v>
      </c>
      <c r="X141" s="5">
        <v>1.1597202815675445E-2</v>
      </c>
      <c r="AZ141" s="3" t="s">
        <v>147</v>
      </c>
      <c r="BA141" s="3">
        <v>136</v>
      </c>
      <c r="BB141" s="3">
        <v>1.0842745999888093</v>
      </c>
      <c r="BC141" s="3">
        <v>1.0742411864194392</v>
      </c>
      <c r="BD141" s="3">
        <v>0.94946530909650606</v>
      </c>
      <c r="BE141" s="3">
        <v>0.47435211584055681</v>
      </c>
      <c r="BG141" s="3">
        <v>1.1440363611587998E-2</v>
      </c>
      <c r="BH141" s="3">
        <v>1.0995307897568626E-2</v>
      </c>
      <c r="BI141" s="3">
        <v>7.6512885050176796E-3</v>
      </c>
      <c r="BJ141" s="3">
        <v>1.5405946064318554E-3</v>
      </c>
    </row>
    <row r="142" spans="1:62" x14ac:dyDescent="0.2">
      <c r="A142" s="3" t="s">
        <v>150</v>
      </c>
      <c r="B142" s="3">
        <v>77.099999999999994</v>
      </c>
      <c r="C142" s="3">
        <v>87.35</v>
      </c>
      <c r="D142" s="3">
        <v>17.54</v>
      </c>
      <c r="E142" s="3">
        <v>65.349999999999994</v>
      </c>
      <c r="F142" s="3">
        <v>57.4</v>
      </c>
      <c r="G142" s="3">
        <v>195.7</v>
      </c>
      <c r="H142" s="3">
        <v>43.3</v>
      </c>
      <c r="I142" s="3">
        <v>132.6</v>
      </c>
      <c r="J142" s="3">
        <v>12.48</v>
      </c>
      <c r="K142" s="3">
        <v>96.65</v>
      </c>
      <c r="L142" s="3">
        <v>28875.560547000001</v>
      </c>
      <c r="N142" s="5">
        <v>7.7519768043181614E-3</v>
      </c>
      <c r="O142" s="5">
        <v>7.981798362149739E-3</v>
      </c>
      <c r="P142" s="5">
        <v>3.4149151000693045E-3</v>
      </c>
      <c r="Q142" s="5">
        <v>2.2927025709753579E-3</v>
      </c>
      <c r="R142" s="5">
        <v>-2.6166608911717404E-3</v>
      </c>
      <c r="S142" s="5">
        <v>-3.5833158382834185E-3</v>
      </c>
      <c r="T142" s="5">
        <v>1.7172717373744373E-2</v>
      </c>
      <c r="U142" s="5">
        <v>1.571300566455669E-2</v>
      </c>
      <c r="V142" s="5">
        <v>1.5898586067798259E-2</v>
      </c>
      <c r="W142" s="5">
        <v>1.131699321113544E-2</v>
      </c>
      <c r="X142" s="5">
        <v>-7.0741988013445223E-4</v>
      </c>
      <c r="AZ142" s="3" t="s">
        <v>148</v>
      </c>
      <c r="BA142" s="3">
        <v>137</v>
      </c>
      <c r="BB142" s="3">
        <v>1.0967503230010278</v>
      </c>
      <c r="BC142" s="3">
        <v>1.0861179738323692</v>
      </c>
      <c r="BD142" s="3">
        <v>0.95675780502048946</v>
      </c>
      <c r="BE142" s="3">
        <v>0.47508346336214363</v>
      </c>
      <c r="BG142" s="3">
        <v>-6.9221307041116981E-3</v>
      </c>
      <c r="BH142" s="3">
        <v>-7.2050418570380886E-3</v>
      </c>
      <c r="BI142" s="3">
        <v>-9.0206309536104215E-3</v>
      </c>
      <c r="BJ142" s="3">
        <v>-1.1888473737041827E-2</v>
      </c>
    </row>
    <row r="143" spans="1:62" x14ac:dyDescent="0.2">
      <c r="A143" s="3" t="s">
        <v>151</v>
      </c>
      <c r="B143" s="3">
        <v>77.7</v>
      </c>
      <c r="C143" s="3">
        <v>88.05</v>
      </c>
      <c r="D143" s="3">
        <v>17.600000000000001</v>
      </c>
      <c r="E143" s="3">
        <v>65.5</v>
      </c>
      <c r="F143" s="3">
        <v>57.25</v>
      </c>
      <c r="G143" s="3">
        <v>195</v>
      </c>
      <c r="H143" s="3">
        <v>44.05</v>
      </c>
      <c r="I143" s="3">
        <v>134.69999999999999</v>
      </c>
      <c r="J143" s="3">
        <v>12.68</v>
      </c>
      <c r="K143" s="3">
        <v>97.75</v>
      </c>
      <c r="L143" s="3">
        <v>28855.140625</v>
      </c>
      <c r="N143" s="5">
        <v>-1.9323677510536541E-3</v>
      </c>
      <c r="O143" s="5">
        <v>-1.1363637586478958E-3</v>
      </c>
      <c r="P143" s="5">
        <v>1.354422510775688E-2</v>
      </c>
      <c r="Q143" s="5">
        <v>1.5255533088369688E-3</v>
      </c>
      <c r="R143" s="5">
        <v>4.3573053689556218E-3</v>
      </c>
      <c r="S143" s="5">
        <v>-5.129520502320517E-4</v>
      </c>
      <c r="T143" s="5">
        <v>-3.4110323010629884E-3</v>
      </c>
      <c r="U143" s="5">
        <v>1.1074310299092893E-2</v>
      </c>
      <c r="V143" s="5">
        <v>-3.1595602903684572E-3</v>
      </c>
      <c r="W143" s="5">
        <v>3.0643537768799689E-3</v>
      </c>
      <c r="X143" s="5">
        <v>-2.0596765889173696E-3</v>
      </c>
      <c r="AZ143" s="3" t="s">
        <v>149</v>
      </c>
      <c r="BA143" s="3">
        <v>138</v>
      </c>
      <c r="BB143" s="3">
        <v>1.0891846892776684</v>
      </c>
      <c r="BC143" s="3">
        <v>1.0783205724030005</v>
      </c>
      <c r="BD143" s="3">
        <v>0.94816605570972001</v>
      </c>
      <c r="BE143" s="3">
        <v>0.46946888658756403</v>
      </c>
      <c r="BG143" s="3">
        <v>9.809238688791716E-3</v>
      </c>
      <c r="BH143" s="3">
        <v>1.0391116733212968E-2</v>
      </c>
      <c r="BI143" s="3">
        <v>1.5662954116294509E-2</v>
      </c>
      <c r="BJ143" s="3">
        <v>2.4275698829763326E-2</v>
      </c>
    </row>
    <row r="144" spans="1:62" x14ac:dyDescent="0.2">
      <c r="A144" s="3" t="s">
        <v>152</v>
      </c>
      <c r="B144" s="3">
        <v>77.55</v>
      </c>
      <c r="C144" s="3">
        <v>87.95</v>
      </c>
      <c r="D144" s="3">
        <v>17.84</v>
      </c>
      <c r="E144" s="3">
        <v>65.599999999999994</v>
      </c>
      <c r="F144" s="3">
        <v>57.5</v>
      </c>
      <c r="G144" s="3">
        <v>194.9</v>
      </c>
      <c r="H144" s="3">
        <v>43.9</v>
      </c>
      <c r="I144" s="3">
        <v>136.19999999999999</v>
      </c>
      <c r="J144" s="3">
        <v>12.64</v>
      </c>
      <c r="K144" s="3">
        <v>98.05</v>
      </c>
      <c r="L144" s="3">
        <v>28795.769531000002</v>
      </c>
      <c r="N144" s="5">
        <v>6.4453756662530282E-4</v>
      </c>
      <c r="O144" s="5">
        <v>3.4052246298381661E-3</v>
      </c>
      <c r="P144" s="5">
        <v>3.3575856948457883E-3</v>
      </c>
      <c r="Q144" s="5">
        <v>-2.2892035941346478E-3</v>
      </c>
      <c r="R144" s="5">
        <v>0</v>
      </c>
      <c r="S144" s="5">
        <v>5.129520502320517E-4</v>
      </c>
      <c r="T144" s="5">
        <v>2.2753138371354176E-3</v>
      </c>
      <c r="U144" s="5">
        <v>2.9325534212780724E-3</v>
      </c>
      <c r="V144" s="5">
        <v>0</v>
      </c>
      <c r="W144" s="5">
        <v>7.1138511388761927E-3</v>
      </c>
      <c r="X144" s="5">
        <v>-7.2743567256772224E-4</v>
      </c>
      <c r="AZ144" s="3" t="s">
        <v>150</v>
      </c>
      <c r="BA144" s="3">
        <v>139</v>
      </c>
      <c r="BB144" s="3">
        <v>1.0999213349400734</v>
      </c>
      <c r="BC144" s="3">
        <v>1.0895839455120597</v>
      </c>
      <c r="BD144" s="3">
        <v>0.96313405265496987</v>
      </c>
      <c r="BE144" s="3">
        <v>0.48100502932734901</v>
      </c>
      <c r="BG144" s="3">
        <v>7.8112854894835521E-3</v>
      </c>
      <c r="BH144" s="3">
        <v>6.4227843146199559E-3</v>
      </c>
      <c r="BI144" s="3">
        <v>3.2817243487670497E-3</v>
      </c>
      <c r="BJ144" s="3">
        <v>-3.7998853700916824E-3</v>
      </c>
    </row>
    <row r="145" spans="1:62" x14ac:dyDescent="0.2">
      <c r="A145" s="3" t="s">
        <v>153</v>
      </c>
      <c r="B145" s="3">
        <v>77.599999999999994</v>
      </c>
      <c r="C145" s="3">
        <v>88.25</v>
      </c>
      <c r="D145" s="3">
        <v>17.899999999999999</v>
      </c>
      <c r="E145" s="3">
        <v>65.45</v>
      </c>
      <c r="F145" s="3">
        <v>57.5</v>
      </c>
      <c r="G145" s="3">
        <v>195</v>
      </c>
      <c r="H145" s="3">
        <v>44</v>
      </c>
      <c r="I145" s="3">
        <v>136.6</v>
      </c>
      <c r="J145" s="3">
        <v>12.64</v>
      </c>
      <c r="K145" s="3">
        <v>98.75</v>
      </c>
      <c r="L145" s="3">
        <v>28774.830077999999</v>
      </c>
      <c r="N145" s="5">
        <v>-1.0362787035546717E-2</v>
      </c>
      <c r="O145" s="5">
        <v>-7.9636370815450164E-3</v>
      </c>
      <c r="P145" s="5">
        <v>-1.5766092338675541E-2</v>
      </c>
      <c r="Q145" s="5">
        <v>-6.8992224602721919E-3</v>
      </c>
      <c r="R145" s="5">
        <v>-7.8568714952202967E-3</v>
      </c>
      <c r="S145" s="5">
        <v>-7.2053837212697758E-3</v>
      </c>
      <c r="T145" s="5">
        <v>-2.1827403044521354E-2</v>
      </c>
      <c r="U145" s="5">
        <v>-1.5492748094795949E-2</v>
      </c>
      <c r="V145" s="5">
        <v>-2.0784121462261052E-2</v>
      </c>
      <c r="W145" s="5">
        <v>-2.9806934289577924E-2</v>
      </c>
      <c r="X145" s="5">
        <v>-1.5520102561888294E-2</v>
      </c>
      <c r="AZ145" s="3" t="s">
        <v>151</v>
      </c>
      <c r="BA145" s="3">
        <v>140</v>
      </c>
      <c r="BB145" s="3">
        <v>1.1085467785469163</v>
      </c>
      <c r="BC145" s="3">
        <v>1.0966046302237284</v>
      </c>
      <c r="BD145" s="3">
        <v>0.966299985144214</v>
      </c>
      <c r="BE145" s="3">
        <v>0.47918073360588176</v>
      </c>
      <c r="BG145" s="3">
        <v>2.5595146661655382E-3</v>
      </c>
      <c r="BH145" s="3">
        <v>2.8888888994151041E-3</v>
      </c>
      <c r="BI145" s="3">
        <v>4.9083624616718668E-3</v>
      </c>
      <c r="BJ145" s="3">
        <v>8.0241598597451391E-3</v>
      </c>
    </row>
    <row r="146" spans="1:62" x14ac:dyDescent="0.2">
      <c r="A146" s="3" t="s">
        <v>154</v>
      </c>
      <c r="B146" s="3">
        <v>76.8</v>
      </c>
      <c r="C146" s="3">
        <v>87.55</v>
      </c>
      <c r="D146" s="3">
        <v>17.62</v>
      </c>
      <c r="E146" s="3">
        <v>65</v>
      </c>
      <c r="F146" s="3">
        <v>57.05</v>
      </c>
      <c r="G146" s="3">
        <v>193.6</v>
      </c>
      <c r="H146" s="3">
        <v>43.05</v>
      </c>
      <c r="I146" s="3">
        <v>134.5</v>
      </c>
      <c r="J146" s="3">
        <v>12.38</v>
      </c>
      <c r="K146" s="3">
        <v>95.85</v>
      </c>
      <c r="L146" s="3">
        <v>28331.689452999999</v>
      </c>
      <c r="N146" s="5">
        <v>-1.1787955752041945E-2</v>
      </c>
      <c r="O146" s="5">
        <v>-2.8595958863038007E-3</v>
      </c>
      <c r="P146" s="5">
        <v>-5.6915349997881393E-3</v>
      </c>
      <c r="Q146" s="5">
        <v>-1.5396461855923249E-3</v>
      </c>
      <c r="R146" s="5">
        <v>-3.5118561115394797E-3</v>
      </c>
      <c r="S146" s="5">
        <v>0</v>
      </c>
      <c r="T146" s="5">
        <v>-1.1682375854356497E-2</v>
      </c>
      <c r="U146" s="5">
        <v>-2.331809299138321E-2</v>
      </c>
      <c r="V146" s="5">
        <v>-1.4646315517239383E-2</v>
      </c>
      <c r="W146" s="5">
        <v>-1.3126993433821177E-2</v>
      </c>
      <c r="X146" s="5">
        <v>-7.6322038300240536E-3</v>
      </c>
      <c r="AZ146" s="3" t="s">
        <v>152</v>
      </c>
      <c r="BA146" s="3">
        <v>141</v>
      </c>
      <c r="BB146" s="3">
        <v>1.1113877544935753</v>
      </c>
      <c r="BC146" s="3">
        <v>1.0997771795318456</v>
      </c>
      <c r="BD146" s="3">
        <v>0.97105459484622425</v>
      </c>
      <c r="BE146" s="3">
        <v>0.48304122429746066</v>
      </c>
      <c r="BG146" s="3">
        <v>1.8877456592716335E-3</v>
      </c>
      <c r="BH146" s="3">
        <v>1.7186665111550842E-3</v>
      </c>
      <c r="BI146" s="3">
        <v>1.8499822477252049E-3</v>
      </c>
      <c r="BJ146" s="3">
        <v>1.6446081167780235E-3</v>
      </c>
    </row>
    <row r="147" spans="1:62" x14ac:dyDescent="0.2">
      <c r="A147" s="3" t="s">
        <v>155</v>
      </c>
      <c r="B147" s="3">
        <v>75.900000000000006</v>
      </c>
      <c r="C147" s="3">
        <v>87.3</v>
      </c>
      <c r="D147" s="3">
        <v>17.52</v>
      </c>
      <c r="E147" s="3">
        <v>64.900000000000006</v>
      </c>
      <c r="F147" s="3">
        <v>56.85</v>
      </c>
      <c r="G147" s="3">
        <v>193.6</v>
      </c>
      <c r="H147" s="3">
        <v>42.55</v>
      </c>
      <c r="I147" s="3">
        <v>131.4</v>
      </c>
      <c r="J147" s="3">
        <v>12.2</v>
      </c>
      <c r="K147" s="3">
        <v>94.6</v>
      </c>
      <c r="L147" s="3">
        <v>28116.279297000001</v>
      </c>
      <c r="N147" s="5">
        <v>-1.318391753258652E-3</v>
      </c>
      <c r="O147" s="5">
        <v>0</v>
      </c>
      <c r="P147" s="5">
        <v>4.5558165358610125E-3</v>
      </c>
      <c r="Q147" s="5">
        <v>0</v>
      </c>
      <c r="R147" s="5">
        <v>1.1368727606759776E-2</v>
      </c>
      <c r="S147" s="5">
        <v>3.6091815409173833E-3</v>
      </c>
      <c r="T147" s="5">
        <v>-1.1757790890118969E-3</v>
      </c>
      <c r="U147" s="5">
        <v>2.2805026987251509E-3</v>
      </c>
      <c r="V147" s="5">
        <v>0</v>
      </c>
      <c r="W147" s="5">
        <v>2.6392203231910827E-3</v>
      </c>
      <c r="X147" s="5">
        <v>3.1395137754355318E-3</v>
      </c>
      <c r="AZ147" s="3" t="s">
        <v>153</v>
      </c>
      <c r="BA147" s="3">
        <v>142</v>
      </c>
      <c r="BB147" s="3">
        <v>1.113487753411182</v>
      </c>
      <c r="BC147" s="3">
        <v>1.101668954939897</v>
      </c>
      <c r="BD147" s="3">
        <v>0.97285269131871643</v>
      </c>
      <c r="BE147" s="3">
        <v>0.48383629142339912</v>
      </c>
      <c r="BG147" s="3">
        <v>-1.4788281343416018E-2</v>
      </c>
      <c r="BH147" s="3">
        <v>-1.3627096602123703E-2</v>
      </c>
      <c r="BI147" s="3">
        <v>-1.0570612726432418E-2</v>
      </c>
      <c r="BJ147" s="3">
        <v>-4.3868799815007797E-3</v>
      </c>
    </row>
    <row r="148" spans="1:62" x14ac:dyDescent="0.2">
      <c r="A148" s="3" t="s">
        <v>156</v>
      </c>
      <c r="B148" s="3">
        <v>75.8</v>
      </c>
      <c r="C148" s="3">
        <v>87.3</v>
      </c>
      <c r="D148" s="3">
        <v>17.600000000000001</v>
      </c>
      <c r="E148" s="3">
        <v>64.900000000000006</v>
      </c>
      <c r="F148" s="3">
        <v>57.5</v>
      </c>
      <c r="G148" s="3">
        <v>194.3</v>
      </c>
      <c r="H148" s="3">
        <v>42.5</v>
      </c>
      <c r="I148" s="3">
        <v>131.69999999999999</v>
      </c>
      <c r="J148" s="3">
        <v>12.2</v>
      </c>
      <c r="K148" s="3">
        <v>94.85</v>
      </c>
      <c r="L148" s="3">
        <v>28204.689452999999</v>
      </c>
      <c r="N148" s="5">
        <v>5.9191228391952677E-3</v>
      </c>
      <c r="O148" s="5">
        <v>5.7110377955140734E-3</v>
      </c>
      <c r="P148" s="5">
        <v>9.0498355199177816E-3</v>
      </c>
      <c r="Q148" s="5">
        <v>4.6118452225627493E-3</v>
      </c>
      <c r="R148" s="5">
        <v>8.6580627431143142E-3</v>
      </c>
      <c r="S148" s="5">
        <v>2.0565559947591794E-3</v>
      </c>
      <c r="T148" s="5">
        <v>1.633641931969354E-2</v>
      </c>
      <c r="U148" s="5">
        <v>2.1780808461391743E-2</v>
      </c>
      <c r="V148" s="5">
        <v>1.6260520871780315E-2</v>
      </c>
      <c r="W148" s="5">
        <v>9.4439316797325645E-3</v>
      </c>
      <c r="X148" s="5">
        <v>8.0200077507264211E-3</v>
      </c>
      <c r="AZ148" s="3" t="s">
        <v>154</v>
      </c>
      <c r="BA148" s="3">
        <v>143</v>
      </c>
      <c r="BB148" s="3">
        <v>1.0971423414018973</v>
      </c>
      <c r="BC148" s="3">
        <v>1.0867582313427557</v>
      </c>
      <c r="BD148" s="3">
        <v>0.96262320350751318</v>
      </c>
      <c r="BE148" s="3">
        <v>0.4817184085277727</v>
      </c>
      <c r="BG148" s="3">
        <v>-9.081507672504166E-3</v>
      </c>
      <c r="BH148" s="3">
        <v>-7.83829773571805E-3</v>
      </c>
      <c r="BI148" s="3">
        <v>-5.5207020297108472E-3</v>
      </c>
      <c r="BJ148" s="3">
        <v>-3.3715508817877549E-4</v>
      </c>
    </row>
    <row r="149" spans="1:62" x14ac:dyDescent="0.2">
      <c r="A149" s="3" t="s">
        <v>157</v>
      </c>
      <c r="B149" s="3">
        <v>76.25</v>
      </c>
      <c r="C149" s="3">
        <v>87.8</v>
      </c>
      <c r="D149" s="3">
        <v>17.760000000000002</v>
      </c>
      <c r="E149" s="3">
        <v>65.2</v>
      </c>
      <c r="F149" s="3">
        <v>58</v>
      </c>
      <c r="G149" s="3">
        <v>194.7</v>
      </c>
      <c r="H149" s="3">
        <v>43.2</v>
      </c>
      <c r="I149" s="3">
        <v>134.6</v>
      </c>
      <c r="J149" s="3">
        <v>12.4</v>
      </c>
      <c r="K149" s="3">
        <v>95.75</v>
      </c>
      <c r="L149" s="3">
        <v>28431.800781000002</v>
      </c>
      <c r="N149" s="5">
        <v>-6.5595279492036696E-4</v>
      </c>
      <c r="O149" s="5">
        <v>0</v>
      </c>
      <c r="P149" s="5">
        <v>1.1254925217345502E-3</v>
      </c>
      <c r="Q149" s="5">
        <v>0</v>
      </c>
      <c r="R149" s="5">
        <v>-5.1858370323651926E-3</v>
      </c>
      <c r="S149" s="5">
        <v>2.0523352509123072E-3</v>
      </c>
      <c r="T149" s="5">
        <v>6.9204428445734933E-3</v>
      </c>
      <c r="U149" s="5">
        <v>1.4847812675791161E-3</v>
      </c>
      <c r="V149" s="5">
        <v>1.6116038943416733E-3</v>
      </c>
      <c r="W149" s="5">
        <v>-1.0449321744934181E-3</v>
      </c>
      <c r="X149" s="5">
        <v>1.3995069735237564E-3</v>
      </c>
      <c r="AZ149" s="3" t="s">
        <v>155</v>
      </c>
      <c r="BA149" s="3">
        <v>144</v>
      </c>
      <c r="BB149" s="3">
        <v>1.0872237409025085</v>
      </c>
      <c r="BC149" s="3">
        <v>1.0782731943245478</v>
      </c>
      <c r="BD149" s="3">
        <v>0.95732349016361817</v>
      </c>
      <c r="BE149" s="3">
        <v>0.48155602209151305</v>
      </c>
      <c r="BG149" s="3">
        <v>2.2699128510136751E-3</v>
      </c>
      <c r="BH149" s="3">
        <v>2.7900207534122951E-3</v>
      </c>
      <c r="BI149" s="3">
        <v>5.8532438556281041E-3</v>
      </c>
      <c r="BJ149" s="3">
        <v>1.1191795162048379E-2</v>
      </c>
    </row>
    <row r="150" spans="1:62" x14ac:dyDescent="0.2">
      <c r="A150" s="3" t="s">
        <v>158</v>
      </c>
      <c r="B150" s="3">
        <v>76.2</v>
      </c>
      <c r="C150" s="3">
        <v>87.8</v>
      </c>
      <c r="D150" s="3">
        <v>17.78</v>
      </c>
      <c r="E150" s="3">
        <v>65.2</v>
      </c>
      <c r="F150" s="3">
        <v>57.7</v>
      </c>
      <c r="G150" s="3">
        <v>195.1</v>
      </c>
      <c r="H150" s="3">
        <v>43.5</v>
      </c>
      <c r="I150" s="3">
        <v>134.80000000000001</v>
      </c>
      <c r="J150" s="3">
        <v>12.42</v>
      </c>
      <c r="K150" s="3">
        <v>95.65</v>
      </c>
      <c r="L150" s="3">
        <v>28471.619140999999</v>
      </c>
      <c r="N150" s="5">
        <v>3.275469682471055E-3</v>
      </c>
      <c r="O150" s="5">
        <v>3.4110323010629884E-3</v>
      </c>
      <c r="P150" s="5">
        <v>-6.7720349099449351E-3</v>
      </c>
      <c r="Q150" s="5">
        <v>-3.0721990369704244E-3</v>
      </c>
      <c r="R150" s="5">
        <v>8.6617588784942967E-4</v>
      </c>
      <c r="S150" s="5">
        <v>-2.0523352509123072E-3</v>
      </c>
      <c r="T150" s="5">
        <v>-2.3014969882790837E-3</v>
      </c>
      <c r="U150" s="5">
        <v>2.9629651306573024E-3</v>
      </c>
      <c r="V150" s="5">
        <v>-4.8426244757879822E-3</v>
      </c>
      <c r="W150" s="5">
        <v>-1.2095861386565154E-2</v>
      </c>
      <c r="X150" s="5">
        <v>2.9201082712280169E-3</v>
      </c>
      <c r="AZ150" s="3" t="s">
        <v>156</v>
      </c>
      <c r="BA150" s="3">
        <v>145</v>
      </c>
      <c r="BB150" s="3">
        <v>1.089694447126955</v>
      </c>
      <c r="BC150" s="3">
        <v>1.0812857995759175</v>
      </c>
      <c r="BD150" s="3">
        <v>0.9629433692165722</v>
      </c>
      <c r="BE150" s="3">
        <v>0.48697577023399335</v>
      </c>
      <c r="BG150" s="3">
        <v>1.0331431910746772E-2</v>
      </c>
      <c r="BH150" s="3">
        <v>9.4302358759862509E-3</v>
      </c>
      <c r="BI150" s="3">
        <v>8.9141722197705123E-3</v>
      </c>
      <c r="BJ150" s="3">
        <v>6.4844080777743951E-3</v>
      </c>
    </row>
    <row r="151" spans="1:62" x14ac:dyDescent="0.2">
      <c r="A151" s="3" t="s">
        <v>159</v>
      </c>
      <c r="B151" s="3">
        <v>76.45</v>
      </c>
      <c r="C151" s="3">
        <v>88.1</v>
      </c>
      <c r="D151" s="3">
        <v>17.66</v>
      </c>
      <c r="E151" s="3">
        <v>65</v>
      </c>
      <c r="F151" s="3">
        <v>57.75</v>
      </c>
      <c r="G151" s="3">
        <v>194.7</v>
      </c>
      <c r="H151" s="3">
        <v>43.4</v>
      </c>
      <c r="I151" s="3">
        <v>135.19999999999999</v>
      </c>
      <c r="J151" s="3">
        <v>12.36</v>
      </c>
      <c r="K151" s="3">
        <v>94.5</v>
      </c>
      <c r="L151" s="3">
        <v>28554.880859000001</v>
      </c>
      <c r="N151" s="5">
        <v>5.2185376095330582E-3</v>
      </c>
      <c r="O151" s="5">
        <v>-5.1209215748908576E-3</v>
      </c>
      <c r="P151" s="5">
        <v>1.1318620336835394E-3</v>
      </c>
      <c r="Q151" s="5">
        <v>1.5372793188870304E-3</v>
      </c>
      <c r="R151" s="5">
        <v>-3.4692142340118082E-3</v>
      </c>
      <c r="S151" s="5">
        <v>2.0523352509123072E-3</v>
      </c>
      <c r="T151" s="5">
        <v>0</v>
      </c>
      <c r="U151" s="5">
        <v>4.4280515157320011E-3</v>
      </c>
      <c r="V151" s="5">
        <v>8.0580613297622783E-3</v>
      </c>
      <c r="W151" s="5">
        <v>-4.2417879083629373E-3</v>
      </c>
      <c r="X151" s="5">
        <v>2.2645868233830413E-3</v>
      </c>
      <c r="AZ151" s="3" t="s">
        <v>157</v>
      </c>
      <c r="BA151" s="3">
        <v>146</v>
      </c>
      <c r="BB151" s="3">
        <v>1.1010109080755337</v>
      </c>
      <c r="BC151" s="3">
        <v>1.0915308102253631</v>
      </c>
      <c r="BD151" s="3">
        <v>0.97156558511121915</v>
      </c>
      <c r="BE151" s="3">
        <v>0.49014378008593684</v>
      </c>
      <c r="BG151" s="3">
        <v>7.3408105515729294E-4</v>
      </c>
      <c r="BH151" s="3">
        <v>2.7168607983742155E-4</v>
      </c>
      <c r="BI151" s="3">
        <v>-1.5517552126172729E-3</v>
      </c>
      <c r="BJ151" s="3">
        <v>-5.3351434734978387E-3</v>
      </c>
    </row>
    <row r="152" spans="1:62" x14ac:dyDescent="0.2">
      <c r="A152" s="3" t="s">
        <v>160</v>
      </c>
      <c r="B152" s="3">
        <v>76.849999999999994</v>
      </c>
      <c r="C152" s="3">
        <v>87.65</v>
      </c>
      <c r="D152" s="3">
        <v>17.68</v>
      </c>
      <c r="E152" s="3">
        <v>65.099999999999994</v>
      </c>
      <c r="F152" s="3">
        <v>57.55</v>
      </c>
      <c r="G152" s="3">
        <v>195.1</v>
      </c>
      <c r="H152" s="3">
        <v>43.4</v>
      </c>
      <c r="I152" s="3">
        <v>135.80000000000001</v>
      </c>
      <c r="J152" s="3">
        <v>12.46</v>
      </c>
      <c r="K152" s="3">
        <v>94.1</v>
      </c>
      <c r="L152" s="3">
        <v>28619.619140999999</v>
      </c>
      <c r="N152" s="5">
        <v>1.3003903002832828E-3</v>
      </c>
      <c r="O152" s="5">
        <v>-2.8563287057536968E-3</v>
      </c>
      <c r="P152" s="5">
        <v>0</v>
      </c>
      <c r="Q152" s="5">
        <v>-1.5372793188870304E-3</v>
      </c>
      <c r="R152" s="5">
        <v>5.1993184717940011E-3</v>
      </c>
      <c r="S152" s="5">
        <v>2.5595099716513303E-3</v>
      </c>
      <c r="T152" s="5">
        <v>3.4502621921523868E-3</v>
      </c>
      <c r="U152" s="5">
        <v>1.4716706114565881E-3</v>
      </c>
      <c r="V152" s="5">
        <v>3.2051309489484758E-3</v>
      </c>
      <c r="W152" s="5">
        <v>5.8278310639980901E-3</v>
      </c>
      <c r="X152" s="5">
        <v>-9.2459120827292907E-4</v>
      </c>
      <c r="AZ152" s="3" t="s">
        <v>158</v>
      </c>
      <c r="BA152" s="3">
        <v>147</v>
      </c>
      <c r="BB152" s="3">
        <v>1.1018194360509002</v>
      </c>
      <c r="BC152" s="3">
        <v>1.0918274042406233</v>
      </c>
      <c r="BD152" s="3">
        <v>0.97005912228318614</v>
      </c>
      <c r="BE152" s="3">
        <v>0.48753575597412246</v>
      </c>
      <c r="BG152" s="3">
        <v>-2.2023206755933528E-3</v>
      </c>
      <c r="BH152" s="3">
        <v>-1.9708835415565978E-3</v>
      </c>
      <c r="BI152" s="3">
        <v>8.9343542039307944E-5</v>
      </c>
      <c r="BJ152" s="3">
        <v>3.2731164086513553E-3</v>
      </c>
    </row>
    <row r="153" spans="1:62" x14ac:dyDescent="0.2">
      <c r="A153" s="3" t="s">
        <v>161</v>
      </c>
      <c r="B153" s="3">
        <v>76.95</v>
      </c>
      <c r="C153" s="3">
        <v>87.4</v>
      </c>
      <c r="D153" s="3">
        <v>17.68</v>
      </c>
      <c r="E153" s="3">
        <v>65</v>
      </c>
      <c r="F153" s="3">
        <v>57.85</v>
      </c>
      <c r="G153" s="3">
        <v>195.6</v>
      </c>
      <c r="H153" s="3">
        <v>43.55</v>
      </c>
      <c r="I153" s="3">
        <v>136</v>
      </c>
      <c r="J153" s="3">
        <v>12.5</v>
      </c>
      <c r="K153" s="3">
        <v>94.65</v>
      </c>
      <c r="L153" s="3">
        <v>28593.169922000001</v>
      </c>
      <c r="N153" s="5">
        <v>-1.3003903002832828E-3</v>
      </c>
      <c r="O153" s="5">
        <v>-2.2909517465556917E-3</v>
      </c>
      <c r="P153" s="5">
        <v>0</v>
      </c>
      <c r="Q153" s="5">
        <v>-3.8535693159893469E-3</v>
      </c>
      <c r="R153" s="5">
        <v>-6.0685058363807443E-3</v>
      </c>
      <c r="S153" s="5">
        <v>-1.5349197180842822E-3</v>
      </c>
      <c r="T153" s="5">
        <v>-1.1487652038733032E-3</v>
      </c>
      <c r="U153" s="5">
        <v>-5.8997221271885891E-3</v>
      </c>
      <c r="V153" s="5">
        <v>-1.2882625831013961E-2</v>
      </c>
      <c r="W153" s="5">
        <v>-6.8910953853285051E-3</v>
      </c>
      <c r="X153" s="5">
        <v>-4.6099514701953836E-3</v>
      </c>
      <c r="AZ153" s="3" t="s">
        <v>159</v>
      </c>
      <c r="BA153" s="3">
        <v>148</v>
      </c>
      <c r="BB153" s="3">
        <v>1.0993955463969638</v>
      </c>
      <c r="BC153" s="3">
        <v>1.0896776587242827</v>
      </c>
      <c r="BD153" s="3">
        <v>0.97014579467290996</v>
      </c>
      <c r="BE153" s="3">
        <v>0.48913413166466713</v>
      </c>
      <c r="BG153" s="3">
        <v>1.0241668853268743E-3</v>
      </c>
      <c r="BH153" s="3">
        <v>4.8224821180627153E-4</v>
      </c>
      <c r="BI153" s="3">
        <v>-1.5499476681818183E-3</v>
      </c>
      <c r="BJ153" s="3">
        <v>-5.3294737277064241E-3</v>
      </c>
    </row>
    <row r="154" spans="1:62" x14ac:dyDescent="0.2">
      <c r="A154" s="3" t="s">
        <v>162</v>
      </c>
      <c r="B154" s="3">
        <v>76.849999999999994</v>
      </c>
      <c r="C154" s="3">
        <v>87.2</v>
      </c>
      <c r="D154" s="3">
        <v>17.68</v>
      </c>
      <c r="E154" s="3">
        <v>64.75</v>
      </c>
      <c r="F154" s="3">
        <v>57.5</v>
      </c>
      <c r="G154" s="3">
        <v>195.3</v>
      </c>
      <c r="H154" s="3">
        <v>43.5</v>
      </c>
      <c r="I154" s="3">
        <v>135.19999999999999</v>
      </c>
      <c r="J154" s="3">
        <v>12.34</v>
      </c>
      <c r="K154" s="3">
        <v>94</v>
      </c>
      <c r="L154" s="3">
        <v>28461.660156000002</v>
      </c>
      <c r="N154" s="5">
        <v>3.2478105846784899E-3</v>
      </c>
      <c r="O154" s="5">
        <v>7.4264837181727827E-3</v>
      </c>
      <c r="P154" s="5">
        <v>4.5146803545268455E-3</v>
      </c>
      <c r="Q154" s="5">
        <v>4.6225043788670206E-3</v>
      </c>
      <c r="R154" s="5">
        <v>1.4674410929259807E-2</v>
      </c>
      <c r="S154" s="5">
        <v>7.142887512380014E-3</v>
      </c>
      <c r="T154" s="5">
        <v>4.5871640069061748E-3</v>
      </c>
      <c r="U154" s="5">
        <v>4.4280515157320011E-3</v>
      </c>
      <c r="V154" s="5">
        <v>6.4620580280911888E-3</v>
      </c>
      <c r="W154" s="5">
        <v>4.2462908814515643E-3</v>
      </c>
      <c r="X154" s="5">
        <v>1.0615365680632038E-2</v>
      </c>
      <c r="AZ154" s="3" t="s">
        <v>160</v>
      </c>
      <c r="BA154" s="3">
        <v>149</v>
      </c>
      <c r="BB154" s="3">
        <v>1.1005220876941344</v>
      </c>
      <c r="BC154" s="3">
        <v>1.0902032805565554</v>
      </c>
      <c r="BD154" s="3">
        <v>0.968643284167782</v>
      </c>
      <c r="BE154" s="3">
        <v>0.48653423834599496</v>
      </c>
      <c r="BG154" s="3">
        <v>1.9351175613789573E-3</v>
      </c>
      <c r="BH154" s="3">
        <v>1.7690599820425895E-3</v>
      </c>
      <c r="BI154" s="3">
        <v>1.7671123892070949E-3</v>
      </c>
      <c r="BJ154" s="3">
        <v>1.8245848422099309E-3</v>
      </c>
    </row>
    <row r="155" spans="1:62" x14ac:dyDescent="0.2">
      <c r="A155" s="3" t="s">
        <v>163</v>
      </c>
      <c r="B155" s="3">
        <v>77.099999999999994</v>
      </c>
      <c r="C155" s="3">
        <v>87.85</v>
      </c>
      <c r="D155" s="3">
        <v>17.760000000000002</v>
      </c>
      <c r="E155" s="3">
        <v>65.05</v>
      </c>
      <c r="F155" s="3">
        <v>58.35</v>
      </c>
      <c r="G155" s="3">
        <v>196.7</v>
      </c>
      <c r="H155" s="3">
        <v>43.7</v>
      </c>
      <c r="I155" s="3">
        <v>135.80000000000001</v>
      </c>
      <c r="J155" s="3">
        <v>12.42</v>
      </c>
      <c r="K155" s="3">
        <v>94.4</v>
      </c>
      <c r="L155" s="3">
        <v>28765.400390999999</v>
      </c>
      <c r="N155" s="5">
        <v>-1.2398201228112526E-2</v>
      </c>
      <c r="O155" s="5">
        <v>-8.5739307746495186E-3</v>
      </c>
      <c r="P155" s="5">
        <v>-1.018684530699332E-2</v>
      </c>
      <c r="Q155" s="5">
        <v>-9.2664755733178339E-3</v>
      </c>
      <c r="R155" s="5">
        <v>-1.5544354437800223E-2</v>
      </c>
      <c r="S155" s="5">
        <v>-1.3306235220048812E-2</v>
      </c>
      <c r="T155" s="5">
        <v>-1.8476276167573413E-2</v>
      </c>
      <c r="U155" s="5">
        <v>-2.6111144003685638E-2</v>
      </c>
      <c r="V155" s="5">
        <v>-2.4451095864164607E-2</v>
      </c>
      <c r="W155" s="5">
        <v>7.3878963998890157E-3</v>
      </c>
      <c r="X155" s="5">
        <v>-1.3796636900389458E-2</v>
      </c>
      <c r="AZ155" s="3" t="s">
        <v>161</v>
      </c>
      <c r="BA155" s="3">
        <v>150</v>
      </c>
      <c r="BB155" s="3">
        <v>1.1026537891940091</v>
      </c>
      <c r="BC155" s="3">
        <v>1.0921336224943876</v>
      </c>
      <c r="BD155" s="3">
        <v>0.97035649899170817</v>
      </c>
      <c r="BE155" s="3">
        <v>0.48742277169823828</v>
      </c>
      <c r="BG155" s="3">
        <v>-4.2542309980283799E-3</v>
      </c>
      <c r="BH155" s="3">
        <v>-3.8903045268715852E-3</v>
      </c>
      <c r="BI155" s="3">
        <v>-3.3467326186495915E-3</v>
      </c>
      <c r="BJ155" s="3">
        <v>-2.3430047031045564E-3</v>
      </c>
    </row>
    <row r="156" spans="1:62" x14ac:dyDescent="0.2">
      <c r="A156" s="3" t="s">
        <v>164</v>
      </c>
      <c r="B156" s="3">
        <v>76.150000000000006</v>
      </c>
      <c r="C156" s="3">
        <v>87.1</v>
      </c>
      <c r="D156" s="3">
        <v>17.579999999999998</v>
      </c>
      <c r="E156" s="3">
        <v>64.45</v>
      </c>
      <c r="F156" s="3">
        <v>57.45</v>
      </c>
      <c r="G156" s="3">
        <v>194.1</v>
      </c>
      <c r="H156" s="3">
        <v>42.9</v>
      </c>
      <c r="I156" s="3">
        <v>132.30000000000001</v>
      </c>
      <c r="J156" s="3">
        <v>12.12</v>
      </c>
      <c r="K156" s="3">
        <v>95.1</v>
      </c>
      <c r="L156" s="3">
        <v>28371.259765999999</v>
      </c>
      <c r="N156" s="5">
        <v>6.5638335142992332E-4</v>
      </c>
      <c r="O156" s="5">
        <v>-5.7421764425935606E-4</v>
      </c>
      <c r="P156" s="5">
        <v>2.2727282510026647E-3</v>
      </c>
      <c r="Q156" s="5">
        <v>4.6439711944508133E-3</v>
      </c>
      <c r="R156" s="5">
        <v>8.6655654909968405E-3</v>
      </c>
      <c r="S156" s="5">
        <v>2.058672883537227E-3</v>
      </c>
      <c r="T156" s="5">
        <v>-2.3337233462199514E-3</v>
      </c>
      <c r="U156" s="5">
        <v>-5.3050522296933522E-3</v>
      </c>
      <c r="V156" s="5">
        <v>8.2169731022809778E-3</v>
      </c>
      <c r="W156" s="5">
        <v>6.8116585094113447E-3</v>
      </c>
      <c r="X156" s="5">
        <v>3.3506185041964898E-3</v>
      </c>
      <c r="AZ156" s="3" t="s">
        <v>162</v>
      </c>
      <c r="BA156" s="3">
        <v>151</v>
      </c>
      <c r="BB156" s="3">
        <v>1.0979728093086747</v>
      </c>
      <c r="BC156" s="3">
        <v>1.0878931438436095</v>
      </c>
      <c r="BD156" s="3">
        <v>0.9671144034843302</v>
      </c>
      <c r="BE156" s="3">
        <v>0.48628207470279916</v>
      </c>
      <c r="BG156" s="3">
        <v>6.131227904199496E-3</v>
      </c>
      <c r="BH156" s="3">
        <v>6.5712622586384661E-3</v>
      </c>
      <c r="BI156" s="3">
        <v>9.4750555395154944E-3</v>
      </c>
      <c r="BJ156" s="3">
        <v>1.4452024617181425E-2</v>
      </c>
    </row>
    <row r="157" spans="1:62" x14ac:dyDescent="0.2">
      <c r="A157" s="3" t="s">
        <v>165</v>
      </c>
      <c r="B157" s="3">
        <v>76.2</v>
      </c>
      <c r="C157" s="3">
        <v>87.05</v>
      </c>
      <c r="D157" s="3">
        <v>17.62</v>
      </c>
      <c r="E157" s="3">
        <v>64.75</v>
      </c>
      <c r="F157" s="3">
        <v>57.95</v>
      </c>
      <c r="G157" s="3">
        <v>194.5</v>
      </c>
      <c r="H157" s="3">
        <v>42.8</v>
      </c>
      <c r="I157" s="3">
        <v>131.6</v>
      </c>
      <c r="J157" s="3">
        <v>12.22</v>
      </c>
      <c r="K157" s="3">
        <v>95.75</v>
      </c>
      <c r="L157" s="3">
        <v>28466.480468999998</v>
      </c>
      <c r="N157" s="5">
        <v>-1.3131978249605325E-3</v>
      </c>
      <c r="O157" s="5">
        <v>-2.3001735270833379E-3</v>
      </c>
      <c r="P157" s="5">
        <v>-4.5506335639964313E-3</v>
      </c>
      <c r="Q157" s="5">
        <v>-7.724990727924208E-4</v>
      </c>
      <c r="R157" s="5">
        <v>0</v>
      </c>
      <c r="S157" s="5">
        <v>2.5673955052454289E-3</v>
      </c>
      <c r="T157" s="5">
        <v>-2.3391823531722089E-3</v>
      </c>
      <c r="U157" s="5">
        <v>-7.6278020488862452E-3</v>
      </c>
      <c r="V157" s="5">
        <v>-1.3179762444409882E-2</v>
      </c>
      <c r="W157" s="5">
        <v>6.7655735557439201E-3</v>
      </c>
      <c r="X157" s="5">
        <v>2.0199364400710351E-3</v>
      </c>
      <c r="AZ157" s="3" t="s">
        <v>163</v>
      </c>
      <c r="BA157" s="3">
        <v>152</v>
      </c>
      <c r="BB157" s="3">
        <v>1.1047254105501285</v>
      </c>
      <c r="BC157" s="3">
        <v>1.0950655149575308</v>
      </c>
      <c r="BD157" s="3">
        <v>0.97632141576562415</v>
      </c>
      <c r="BE157" s="3">
        <v>0.49336086342524849</v>
      </c>
      <c r="BG157" s="3">
        <v>-1.3387454384003711E-2</v>
      </c>
      <c r="BH157" s="3">
        <v>-1.271424284241271E-2</v>
      </c>
      <c r="BI157" s="3">
        <v>-1.4109403759579166E-2</v>
      </c>
      <c r="BJ157" s="3">
        <v>-1.4330068938950169E-2</v>
      </c>
    </row>
    <row r="158" spans="1:62" x14ac:dyDescent="0.2">
      <c r="A158" s="3" t="s">
        <v>166</v>
      </c>
      <c r="B158" s="3">
        <v>76.099999999999994</v>
      </c>
      <c r="C158" s="3">
        <v>86.85</v>
      </c>
      <c r="D158" s="3">
        <v>17.54</v>
      </c>
      <c r="E158" s="3">
        <v>64.7</v>
      </c>
      <c r="F158" s="3">
        <v>57.95</v>
      </c>
      <c r="G158" s="3">
        <v>195</v>
      </c>
      <c r="H158" s="3">
        <v>42.7</v>
      </c>
      <c r="I158" s="3">
        <v>130.6</v>
      </c>
      <c r="J158" s="3">
        <v>12.06</v>
      </c>
      <c r="K158" s="3">
        <v>96.4</v>
      </c>
      <c r="L158" s="3">
        <v>28524.039063</v>
      </c>
      <c r="N158" s="5">
        <v>-3.29055907309872E-3</v>
      </c>
      <c r="O158" s="5">
        <v>-5.7587102080969288E-4</v>
      </c>
      <c r="P158" s="5">
        <v>0</v>
      </c>
      <c r="Q158" s="5">
        <v>-7.7309628898802885E-4</v>
      </c>
      <c r="R158" s="5">
        <v>-4.3233962717073027E-3</v>
      </c>
      <c r="S158" s="5">
        <v>4.0941715326630046E-3</v>
      </c>
      <c r="T158" s="5">
        <v>0</v>
      </c>
      <c r="U158" s="5">
        <v>-1.3878403172077114E-2</v>
      </c>
      <c r="V158" s="5">
        <v>-1.335579118155561E-2</v>
      </c>
      <c r="W158" s="5">
        <v>-4.6789791627910304E-3</v>
      </c>
      <c r="X158" s="5">
        <v>2.4602169331640056E-3</v>
      </c>
      <c r="AZ158" s="3" t="s">
        <v>164</v>
      </c>
      <c r="BA158" s="3">
        <v>153</v>
      </c>
      <c r="BB158" s="3">
        <v>1.0900345058307579</v>
      </c>
      <c r="BC158" s="3">
        <v>1.0812307218992794</v>
      </c>
      <c r="BD158" s="3">
        <v>0.96264282799197431</v>
      </c>
      <c r="BE158" s="3">
        <v>0.48634138317946046</v>
      </c>
      <c r="BG158" s="3">
        <v>2.4701570139953888E-3</v>
      </c>
      <c r="BH158" s="3">
        <v>2.7980117950942851E-3</v>
      </c>
      <c r="BI158" s="3">
        <v>3.6643328886452192E-3</v>
      </c>
      <c r="BJ158" s="3">
        <v>6.0313121893137422E-3</v>
      </c>
    </row>
    <row r="159" spans="1:62" x14ac:dyDescent="0.2">
      <c r="A159" s="3" t="s">
        <v>167</v>
      </c>
      <c r="B159" s="3">
        <v>75.849999999999994</v>
      </c>
      <c r="C159" s="3">
        <v>86.8</v>
      </c>
      <c r="D159" s="3">
        <v>17.54</v>
      </c>
      <c r="E159" s="3">
        <v>64.650000000000006</v>
      </c>
      <c r="F159" s="3">
        <v>57.7</v>
      </c>
      <c r="G159" s="3">
        <v>195.8</v>
      </c>
      <c r="H159" s="3">
        <v>42.7</v>
      </c>
      <c r="I159" s="3">
        <v>128.80000000000001</v>
      </c>
      <c r="J159" s="3">
        <v>11.9</v>
      </c>
      <c r="K159" s="3">
        <v>95.95</v>
      </c>
      <c r="L159" s="3">
        <v>28594.300781000002</v>
      </c>
      <c r="N159" s="5">
        <v>-3.3014226090539722E-3</v>
      </c>
      <c r="O159" s="5">
        <v>-1.1587615172388155E-2</v>
      </c>
      <c r="P159" s="5">
        <v>-2.2831060145684923E-3</v>
      </c>
      <c r="Q159" s="5">
        <v>-6.2063814425377117E-3</v>
      </c>
      <c r="R159" s="5">
        <v>-7.8295310797047435E-3</v>
      </c>
      <c r="S159" s="5">
        <v>-1.5333506709893641E-3</v>
      </c>
      <c r="T159" s="5">
        <v>-7.050557996666651E-3</v>
      </c>
      <c r="U159" s="5">
        <v>-6.2305497506365271E-3</v>
      </c>
      <c r="V159" s="5">
        <v>-1.8660422717402536E-2</v>
      </c>
      <c r="W159" s="5">
        <v>-9.4241535192702841E-3</v>
      </c>
      <c r="X159" s="5">
        <v>-6.8978518006090894E-3</v>
      </c>
      <c r="AZ159" s="3" t="s">
        <v>165</v>
      </c>
      <c r="BA159" s="3">
        <v>154</v>
      </c>
      <c r="BB159" s="3">
        <v>1.0927303904692227</v>
      </c>
      <c r="BC159" s="3">
        <v>1.0842602545699604</v>
      </c>
      <c r="BD159" s="3">
        <v>0.96617674253198726</v>
      </c>
      <c r="BE159" s="3">
        <v>0.48928352345647552</v>
      </c>
      <c r="BG159" s="3">
        <v>-2.427757046092674E-3</v>
      </c>
      <c r="BH159" s="3">
        <v>-1.9626768698548513E-3</v>
      </c>
      <c r="BI159" s="3">
        <v>-2.7587691620512833E-3</v>
      </c>
      <c r="BJ159" s="3">
        <v>-2.6477731101465229E-3</v>
      </c>
    </row>
    <row r="160" spans="1:62" x14ac:dyDescent="0.2">
      <c r="A160" s="3" t="s">
        <v>168</v>
      </c>
      <c r="B160" s="3">
        <v>75.599999999999994</v>
      </c>
      <c r="C160" s="3">
        <v>85.8</v>
      </c>
      <c r="D160" s="3">
        <v>17.5</v>
      </c>
      <c r="E160" s="3">
        <v>64.25</v>
      </c>
      <c r="F160" s="3">
        <v>57.25</v>
      </c>
      <c r="G160" s="3">
        <v>195.5</v>
      </c>
      <c r="H160" s="3">
        <v>42.4</v>
      </c>
      <c r="I160" s="3">
        <v>128</v>
      </c>
      <c r="J160" s="3">
        <v>11.68</v>
      </c>
      <c r="K160" s="3">
        <v>95.05</v>
      </c>
      <c r="L160" s="3">
        <v>28397.740234000001</v>
      </c>
      <c r="N160" s="5">
        <v>-5.3050522296933522E-3</v>
      </c>
      <c r="O160" s="5">
        <v>1.1648224962934606E-3</v>
      </c>
      <c r="P160" s="5">
        <v>-6.880761092222798E-3</v>
      </c>
      <c r="Q160" s="5">
        <v>-5.4623623918406139E-3</v>
      </c>
      <c r="R160" s="5">
        <v>3.4873618604152057E-3</v>
      </c>
      <c r="S160" s="5">
        <v>-1.8585976411766403E-2</v>
      </c>
      <c r="T160" s="5">
        <v>-2.1454935001259834E-2</v>
      </c>
      <c r="U160" s="5">
        <v>-6.2696130135950767E-3</v>
      </c>
      <c r="V160" s="5">
        <v>-3.6621354688537E-2</v>
      </c>
      <c r="W160" s="5">
        <v>-2.5574116203069153E-2</v>
      </c>
      <c r="X160" s="5">
        <v>-1.0311903020985724E-2</v>
      </c>
      <c r="AZ160" s="3" t="s">
        <v>166</v>
      </c>
      <c r="BA160" s="3">
        <v>155</v>
      </c>
      <c r="BB160" s="3">
        <v>1.0900807242386406</v>
      </c>
      <c r="BC160" s="3">
        <v>1.0821342890215697</v>
      </c>
      <c r="BD160" s="3">
        <v>0.96351495724337832</v>
      </c>
      <c r="BE160" s="3">
        <v>0.48798972529768653</v>
      </c>
      <c r="BG160" s="3">
        <v>-3.7890513954198235E-3</v>
      </c>
      <c r="BH160" s="3">
        <v>-3.1222289620502358E-3</v>
      </c>
      <c r="BI160" s="3">
        <v>-2.7857298881297093E-3</v>
      </c>
      <c r="BJ160" s="3">
        <v>-1.5566337883005099E-3</v>
      </c>
    </row>
    <row r="161" spans="1:62" x14ac:dyDescent="0.2">
      <c r="A161" s="3" t="s">
        <v>169</v>
      </c>
      <c r="B161" s="3">
        <v>75.2</v>
      </c>
      <c r="C161" s="3">
        <v>85.9</v>
      </c>
      <c r="D161" s="3">
        <v>17.38</v>
      </c>
      <c r="E161" s="3">
        <v>63.9</v>
      </c>
      <c r="F161" s="3">
        <v>57.45</v>
      </c>
      <c r="G161" s="3">
        <v>191.9</v>
      </c>
      <c r="H161" s="3">
        <v>41.5</v>
      </c>
      <c r="I161" s="3">
        <v>127.2</v>
      </c>
      <c r="J161" s="3">
        <v>11.26</v>
      </c>
      <c r="K161" s="3">
        <v>92.65</v>
      </c>
      <c r="L161" s="3">
        <v>28106.410156000002</v>
      </c>
      <c r="N161" s="5">
        <v>-6.6711388170226371E-3</v>
      </c>
      <c r="O161" s="5">
        <v>0</v>
      </c>
      <c r="P161" s="5">
        <v>8.0229656709995822E-3</v>
      </c>
      <c r="Q161" s="5">
        <v>-1.566171032744812E-3</v>
      </c>
      <c r="R161" s="5">
        <v>-6.1108876327997663E-3</v>
      </c>
      <c r="S161" s="5">
        <v>-8.8982529023642343E-3</v>
      </c>
      <c r="T161" s="5">
        <v>-1.0902591338215473E-2</v>
      </c>
      <c r="U161" s="5">
        <v>4.7058910374122576E-3</v>
      </c>
      <c r="V161" s="5">
        <v>-1.2511333889107856E-2</v>
      </c>
      <c r="W161" s="5">
        <v>5.3951984043987267E-4</v>
      </c>
      <c r="X161" s="5">
        <v>1.4253431751729551E-3</v>
      </c>
      <c r="AZ161" s="3" t="s">
        <v>167</v>
      </c>
      <c r="BA161" s="3">
        <v>156</v>
      </c>
      <c r="BB161" s="3">
        <v>1.0859581675711543</v>
      </c>
      <c r="BC161" s="3">
        <v>1.0787608870107031</v>
      </c>
      <c r="BD161" s="3">
        <v>0.96083459993841558</v>
      </c>
      <c r="BE161" s="3">
        <v>0.48723069492237669</v>
      </c>
      <c r="BG161" s="3">
        <v>-7.4191522828893075E-3</v>
      </c>
      <c r="BH161" s="3">
        <v>-7.0147637615535496E-3</v>
      </c>
      <c r="BI161" s="3">
        <v>-7.2092128432350994E-3</v>
      </c>
      <c r="BJ161" s="3">
        <v>-6.967252496867915E-3</v>
      </c>
    </row>
    <row r="162" spans="1:62" x14ac:dyDescent="0.2">
      <c r="A162" s="3" t="s">
        <v>170</v>
      </c>
      <c r="B162" s="3">
        <v>74.7</v>
      </c>
      <c r="C162" s="3">
        <v>85.9</v>
      </c>
      <c r="D162" s="3">
        <v>17.52</v>
      </c>
      <c r="E162" s="3">
        <v>63.8</v>
      </c>
      <c r="F162" s="3">
        <v>57.1</v>
      </c>
      <c r="G162" s="3">
        <v>190.2</v>
      </c>
      <c r="H162" s="3">
        <v>41.05</v>
      </c>
      <c r="I162" s="3">
        <v>127.8</v>
      </c>
      <c r="J162" s="3">
        <v>11.12</v>
      </c>
      <c r="K162" s="3">
        <v>92.7</v>
      </c>
      <c r="L162" s="3">
        <v>28146.5</v>
      </c>
      <c r="N162" s="5">
        <v>-1.4155949230132414E-2</v>
      </c>
      <c r="O162" s="5">
        <v>-7.5957128265837781E-3</v>
      </c>
      <c r="P162" s="5">
        <v>-1.0327114155849415E-2</v>
      </c>
      <c r="Q162" s="5">
        <v>-7.0782835835956348E-3</v>
      </c>
      <c r="R162" s="5">
        <v>-1.6777435477512093E-2</v>
      </c>
      <c r="S162" s="5">
        <v>-1.7502435649772607E-2</v>
      </c>
      <c r="T162" s="5">
        <v>-7.3349962115654144E-3</v>
      </c>
      <c r="U162" s="5">
        <v>-7.0671672230924187E-3</v>
      </c>
      <c r="V162" s="5">
        <v>-1.8001805041478747E-3</v>
      </c>
      <c r="W162" s="5">
        <v>-3.2897703507059006E-2</v>
      </c>
      <c r="X162" s="5">
        <v>-1.3187672404669115E-2</v>
      </c>
      <c r="AZ162" s="3" t="s">
        <v>168</v>
      </c>
      <c r="BA162" s="3">
        <v>157</v>
      </c>
      <c r="BB162" s="3">
        <v>1.0779310924196042</v>
      </c>
      <c r="BC162" s="3">
        <v>1.0712201135268917</v>
      </c>
      <c r="BD162" s="3">
        <v>0.95393264751510298</v>
      </c>
      <c r="BE162" s="3">
        <v>0.48384783395428788</v>
      </c>
      <c r="BG162" s="3">
        <v>-1.2411367258771969E-2</v>
      </c>
      <c r="BH162" s="3">
        <v>-1.0067919635335487E-2</v>
      </c>
      <c r="BI162" s="3">
        <v>-1.3774202563804974E-3</v>
      </c>
      <c r="BJ162" s="3">
        <v>1.4342846910215701E-2</v>
      </c>
    </row>
    <row r="163" spans="1:62" x14ac:dyDescent="0.2">
      <c r="A163" s="3" t="s">
        <v>171</v>
      </c>
      <c r="B163" s="3">
        <v>73.650000000000006</v>
      </c>
      <c r="C163" s="3">
        <v>85.25</v>
      </c>
      <c r="D163" s="3">
        <v>17.34</v>
      </c>
      <c r="E163" s="3">
        <v>63.35</v>
      </c>
      <c r="F163" s="3">
        <v>56.15</v>
      </c>
      <c r="G163" s="3">
        <v>186.9</v>
      </c>
      <c r="H163" s="3">
        <v>40.75</v>
      </c>
      <c r="I163" s="3">
        <v>126.9</v>
      </c>
      <c r="J163" s="3">
        <v>11.1</v>
      </c>
      <c r="K163" s="3">
        <v>89.7</v>
      </c>
      <c r="L163" s="3">
        <v>27777.75</v>
      </c>
      <c r="N163" s="5">
        <v>-1.5737581048010263E-2</v>
      </c>
      <c r="O163" s="5">
        <v>-3.5252680456849816E-3</v>
      </c>
      <c r="P163" s="5">
        <v>-2.3094698486625376E-3</v>
      </c>
      <c r="Q163" s="5">
        <v>-4.7468443562195262E-3</v>
      </c>
      <c r="R163" s="5">
        <v>-1.8876965025583559E-2</v>
      </c>
      <c r="S163" s="5">
        <v>-1.1299555253933669E-2</v>
      </c>
      <c r="T163" s="5">
        <v>-1.1104370734234426E-2</v>
      </c>
      <c r="U163" s="5">
        <v>-4.1840374726859864E-2</v>
      </c>
      <c r="V163" s="5">
        <v>-9.0498355199177816E-3</v>
      </c>
      <c r="W163" s="5">
        <v>-2.4831975701181008E-2</v>
      </c>
      <c r="X163" s="5">
        <v>-7.6631226165897459E-3</v>
      </c>
      <c r="AZ163" s="3" t="s">
        <v>169</v>
      </c>
      <c r="BA163" s="3">
        <v>158</v>
      </c>
      <c r="BB163" s="3">
        <v>1.0646351746880227</v>
      </c>
      <c r="BC163" s="3">
        <v>1.060489264815806</v>
      </c>
      <c r="BD163" s="3">
        <v>0.95261958588963791</v>
      </c>
      <c r="BE163" s="3">
        <v>0.49083759608279393</v>
      </c>
      <c r="BG163" s="3">
        <v>-3.1541182895933051E-3</v>
      </c>
      <c r="BH163" s="3">
        <v>-2.7440750533898467E-3</v>
      </c>
      <c r="BI163" s="3">
        <v>-1.4894147160201057E-3</v>
      </c>
      <c r="BJ163" s="3">
        <v>4.0448282343297226E-4</v>
      </c>
    </row>
    <row r="164" spans="1:62" x14ac:dyDescent="0.2">
      <c r="A164" s="3" t="s">
        <v>172</v>
      </c>
      <c r="B164" s="3">
        <v>72.5</v>
      </c>
      <c r="C164" s="3">
        <v>84.95</v>
      </c>
      <c r="D164" s="3">
        <v>17.3</v>
      </c>
      <c r="E164" s="3">
        <v>63.05</v>
      </c>
      <c r="F164" s="3">
        <v>55.1</v>
      </c>
      <c r="G164" s="3">
        <v>184.8</v>
      </c>
      <c r="H164" s="3">
        <v>40.299999999999997</v>
      </c>
      <c r="I164" s="3">
        <v>121.7</v>
      </c>
      <c r="J164" s="3">
        <v>11</v>
      </c>
      <c r="K164" s="3">
        <v>87.5</v>
      </c>
      <c r="L164" s="3">
        <v>27565.699218999998</v>
      </c>
      <c r="N164" s="5">
        <v>-7.6151285272523239E-3</v>
      </c>
      <c r="O164" s="5">
        <v>-5.9032048641318724E-3</v>
      </c>
      <c r="P164" s="5">
        <v>1.1554016305557191E-3</v>
      </c>
      <c r="Q164" s="5">
        <v>-1.4377244454208515E-2</v>
      </c>
      <c r="R164" s="5">
        <v>-4.5475294376293718E-3</v>
      </c>
      <c r="S164" s="5">
        <v>-1.8018505502678472E-2</v>
      </c>
      <c r="T164" s="5">
        <v>-1.3741627852296379E-2</v>
      </c>
      <c r="U164" s="5">
        <v>-7.4227144927672128E-3</v>
      </c>
      <c r="V164" s="5">
        <v>-2.0202707317519497E-2</v>
      </c>
      <c r="W164" s="5">
        <v>-1.6129381929884445E-2</v>
      </c>
      <c r="X164" s="5">
        <v>-2.3755460511642568E-2</v>
      </c>
      <c r="AZ164" s="3" t="s">
        <v>170</v>
      </c>
      <c r="BA164" s="3">
        <v>159</v>
      </c>
      <c r="BB164" s="3">
        <v>1.0612824795897722</v>
      </c>
      <c r="BC164" s="3">
        <v>1.0575831917446941</v>
      </c>
      <c r="BD164" s="3">
        <v>0.95120179636003654</v>
      </c>
      <c r="BE164" s="3">
        <v>0.49103617161699353</v>
      </c>
      <c r="BG164" s="3">
        <v>-1.2201709668411956E-2</v>
      </c>
      <c r="BH164" s="3">
        <v>-1.2443645718117444E-2</v>
      </c>
      <c r="BI164" s="3">
        <v>-1.1732401395382945E-2</v>
      </c>
      <c r="BJ164" s="3">
        <v>-1.2138875123503423E-2</v>
      </c>
    </row>
    <row r="165" spans="1:62" x14ac:dyDescent="0.2">
      <c r="A165" s="3" t="s">
        <v>173</v>
      </c>
      <c r="B165" s="3">
        <v>71.95</v>
      </c>
      <c r="C165" s="3">
        <v>84.45</v>
      </c>
      <c r="D165" s="3">
        <v>17.32</v>
      </c>
      <c r="E165" s="3">
        <v>62.15</v>
      </c>
      <c r="F165" s="3">
        <v>54.85</v>
      </c>
      <c r="G165" s="3">
        <v>181.5</v>
      </c>
      <c r="H165" s="3">
        <v>39.75</v>
      </c>
      <c r="I165" s="3">
        <v>120.8</v>
      </c>
      <c r="J165" s="3">
        <v>10.78</v>
      </c>
      <c r="K165" s="3">
        <v>86.1</v>
      </c>
      <c r="L165" s="3">
        <v>26918.580077999999</v>
      </c>
      <c r="N165" s="5">
        <v>-3.2488733107562062E-2</v>
      </c>
      <c r="O165" s="5">
        <v>-2.2755472887672212E-2</v>
      </c>
      <c r="P165" s="5">
        <v>-2.4548281205261535E-2</v>
      </c>
      <c r="Q165" s="5">
        <v>-1.8676953783408834E-2</v>
      </c>
      <c r="R165" s="5">
        <v>-5.4844744421598257E-3</v>
      </c>
      <c r="S165" s="5">
        <v>-3.7041271680348764E-2</v>
      </c>
      <c r="T165" s="5">
        <v>-3.3251145148687655E-2</v>
      </c>
      <c r="U165" s="5">
        <v>-5.3561462506420021E-2</v>
      </c>
      <c r="V165" s="5">
        <v>-3.9740328649514378E-2</v>
      </c>
      <c r="W165" s="5">
        <v>-3.2460802236881747E-2</v>
      </c>
      <c r="X165" s="5">
        <v>-2.8917078180059619E-2</v>
      </c>
      <c r="AZ165" s="3" t="s">
        <v>171</v>
      </c>
      <c r="BA165" s="3">
        <v>160</v>
      </c>
      <c r="BB165" s="3">
        <v>1.0484117013323004</v>
      </c>
      <c r="BC165" s="3">
        <v>1.0445045429874267</v>
      </c>
      <c r="BD165" s="3">
        <v>0.94010712590481971</v>
      </c>
      <c r="BE165" s="3">
        <v>0.48511157655843995</v>
      </c>
      <c r="BG165" s="3">
        <v>-1.4424094728801691E-2</v>
      </c>
      <c r="BH165" s="3">
        <v>-1.337297945594625E-2</v>
      </c>
      <c r="BI165" s="3">
        <v>-1.1244517525580137E-2</v>
      </c>
      <c r="BJ165" s="3">
        <v>-7.6211040140243824E-3</v>
      </c>
    </row>
    <row r="166" spans="1:62" x14ac:dyDescent="0.2">
      <c r="A166" s="3" t="s">
        <v>174</v>
      </c>
      <c r="B166" s="3">
        <v>69.650000000000006</v>
      </c>
      <c r="C166" s="3">
        <v>82.55</v>
      </c>
      <c r="D166" s="3">
        <v>16.899999999999999</v>
      </c>
      <c r="E166" s="3">
        <v>61</v>
      </c>
      <c r="F166" s="3">
        <v>54.55</v>
      </c>
      <c r="G166" s="3">
        <v>174.9</v>
      </c>
      <c r="H166" s="3">
        <v>38.450000000000003</v>
      </c>
      <c r="I166" s="3">
        <v>114.5</v>
      </c>
      <c r="J166" s="3">
        <v>10.36</v>
      </c>
      <c r="K166" s="3">
        <v>83.35</v>
      </c>
      <c r="L166" s="3">
        <v>26151.320313</v>
      </c>
      <c r="N166" s="5">
        <v>-1.5190165493974561E-2</v>
      </c>
      <c r="O166" s="5">
        <v>0</v>
      </c>
      <c r="P166" s="5">
        <v>-2.3696693553181269E-3</v>
      </c>
      <c r="Q166" s="5">
        <v>-1.1541760440171522E-2</v>
      </c>
      <c r="R166" s="5">
        <v>-2.7535584171829441E-3</v>
      </c>
      <c r="S166" s="5">
        <v>-9.1901853029954239E-3</v>
      </c>
      <c r="T166" s="5">
        <v>-9.1444138189977764E-3</v>
      </c>
      <c r="U166" s="5">
        <v>-9.6534317006424786E-3</v>
      </c>
      <c r="V166" s="5">
        <v>-4.5417479690792462E-2</v>
      </c>
      <c r="W166" s="5">
        <v>5.3843982912340493E-3</v>
      </c>
      <c r="X166" s="5">
        <v>-6.7173961533271154E-3</v>
      </c>
      <c r="AZ166" s="3" t="s">
        <v>172</v>
      </c>
      <c r="BA166" s="3">
        <v>161</v>
      </c>
      <c r="BB166" s="3">
        <v>1.0333978525335001</v>
      </c>
      <c r="BC166" s="3">
        <v>1.0306293880548318</v>
      </c>
      <c r="BD166" s="3">
        <v>0.92959528589506568</v>
      </c>
      <c r="BE166" s="3">
        <v>0.48142854299226978</v>
      </c>
      <c r="BG166" s="3">
        <v>-1.0485236660815286E-2</v>
      </c>
      <c r="BH166" s="3">
        <v>-9.5236788769159468E-3</v>
      </c>
      <c r="BI166" s="3">
        <v>-3.4332851302628087E-3</v>
      </c>
      <c r="BJ166" s="3">
        <v>5.7852637649488114E-3</v>
      </c>
    </row>
    <row r="167" spans="1:62" x14ac:dyDescent="0.2">
      <c r="A167" s="3" t="s">
        <v>175</v>
      </c>
      <c r="B167" s="3">
        <v>68.599999999999994</v>
      </c>
      <c r="C167" s="3">
        <v>82.55</v>
      </c>
      <c r="D167" s="3">
        <v>16.86</v>
      </c>
      <c r="E167" s="3">
        <v>60.3</v>
      </c>
      <c r="F167" s="3">
        <v>54.4</v>
      </c>
      <c r="G167" s="3">
        <v>173.3</v>
      </c>
      <c r="H167" s="3">
        <v>38.1</v>
      </c>
      <c r="I167" s="3">
        <v>113.4</v>
      </c>
      <c r="J167" s="3">
        <v>9.9</v>
      </c>
      <c r="K167" s="3">
        <v>83.8</v>
      </c>
      <c r="L167" s="3">
        <v>25976.240234000001</v>
      </c>
      <c r="N167" s="5">
        <v>-1.3206354813610766E-2</v>
      </c>
      <c r="O167" s="5">
        <v>3.0422865213191486E-2</v>
      </c>
      <c r="P167" s="5">
        <v>-2.3752980289075687E-3</v>
      </c>
      <c r="Q167" s="5">
        <v>-1.6597514183640527E-3</v>
      </c>
      <c r="R167" s="5">
        <v>1.0059526987733935E-2</v>
      </c>
      <c r="S167" s="5">
        <v>-1.7326022237815764E-3</v>
      </c>
      <c r="T167" s="5">
        <v>-7.9051795071132247E-3</v>
      </c>
      <c r="U167" s="5">
        <v>-1.4209830572653459E-2</v>
      </c>
      <c r="V167" s="5">
        <v>-2.7651531330509904E-2</v>
      </c>
      <c r="W167" s="5">
        <v>-1.2004946096823232E-2</v>
      </c>
      <c r="X167" s="5">
        <v>7.9999062196023374E-4</v>
      </c>
      <c r="AZ167" s="3" t="s">
        <v>173</v>
      </c>
      <c r="BA167" s="3">
        <v>162</v>
      </c>
      <c r="BB167" s="3">
        <v>1.0226190394398931</v>
      </c>
      <c r="BC167" s="3">
        <v>1.0208605959773152</v>
      </c>
      <c r="BD167" s="3">
        <v>0.92640919273563171</v>
      </c>
      <c r="BE167" s="3">
        <v>0.48422180618892996</v>
      </c>
      <c r="BG167" s="3">
        <v>-3.0038391401696205E-2</v>
      </c>
      <c r="BH167" s="3">
        <v>-2.7286397387624117E-2</v>
      </c>
      <c r="BI167" s="3">
        <v>-1.8478837921632491E-2</v>
      </c>
      <c r="BJ167" s="3">
        <v>-1.997377726735361E-3</v>
      </c>
    </row>
    <row r="168" spans="1:62" x14ac:dyDescent="0.2">
      <c r="A168" s="3" t="s">
        <v>176</v>
      </c>
      <c r="B168" s="3">
        <v>67.7</v>
      </c>
      <c r="C168" s="3">
        <v>85.1</v>
      </c>
      <c r="D168" s="3">
        <v>16.82</v>
      </c>
      <c r="E168" s="3">
        <v>60.2</v>
      </c>
      <c r="F168" s="3">
        <v>54.95</v>
      </c>
      <c r="G168" s="3">
        <v>173</v>
      </c>
      <c r="H168" s="3">
        <v>37.799999999999997</v>
      </c>
      <c r="I168" s="3">
        <v>111.8</v>
      </c>
      <c r="J168" s="3">
        <v>9.6300000000000008</v>
      </c>
      <c r="K168" s="3">
        <v>82.8</v>
      </c>
      <c r="L168" s="3">
        <v>25997.029297000001</v>
      </c>
      <c r="N168" s="5">
        <v>5.1565491792455731E-3</v>
      </c>
      <c r="O168" s="5">
        <v>-8.8522265873516304E-3</v>
      </c>
      <c r="P168" s="5">
        <v>1.1820468600426182E-2</v>
      </c>
      <c r="Q168" s="5">
        <v>0</v>
      </c>
      <c r="R168" s="5">
        <v>5.4446595482318116E-3</v>
      </c>
      <c r="S168" s="5">
        <v>2.3094698486625376E-3</v>
      </c>
      <c r="T168" s="5">
        <v>1.5748356968138921E-2</v>
      </c>
      <c r="U168" s="5">
        <v>2.1239736500911377E-2</v>
      </c>
      <c r="V168" s="5">
        <v>4.1450836551684134E-3</v>
      </c>
      <c r="W168" s="5">
        <v>2.9746393106419688E-2</v>
      </c>
      <c r="X168" s="5">
        <v>4.7484916589812798E-3</v>
      </c>
      <c r="AZ168" s="3" t="s">
        <v>174</v>
      </c>
      <c r="BA168" s="3">
        <v>163</v>
      </c>
      <c r="BB168" s="3">
        <v>0.99235798060092284</v>
      </c>
      <c r="BC168" s="3">
        <v>0.99338159448599006</v>
      </c>
      <c r="BD168" s="3">
        <v>0.90944742692938962</v>
      </c>
      <c r="BE168" s="3">
        <v>0.48325559760143016</v>
      </c>
      <c r="BG168" s="3">
        <v>-9.6949929081317707E-3</v>
      </c>
      <c r="BH168" s="3">
        <v>-8.1621067147450779E-3</v>
      </c>
      <c r="BI168" s="3">
        <v>-4.196844962122151E-3</v>
      </c>
      <c r="BJ168" s="3">
        <v>2.9772899045539258E-3</v>
      </c>
    </row>
    <row r="169" spans="1:62" x14ac:dyDescent="0.2">
      <c r="A169" s="3" t="s">
        <v>177</v>
      </c>
      <c r="B169" s="3">
        <v>68.05</v>
      </c>
      <c r="C169" s="3">
        <v>84.35</v>
      </c>
      <c r="D169" s="3">
        <v>17.02</v>
      </c>
      <c r="E169" s="3">
        <v>60.2</v>
      </c>
      <c r="F169" s="3">
        <v>55.25</v>
      </c>
      <c r="G169" s="3">
        <v>173.4</v>
      </c>
      <c r="H169" s="3">
        <v>38.4</v>
      </c>
      <c r="I169" s="3">
        <v>114.2</v>
      </c>
      <c r="J169" s="3">
        <v>9.67</v>
      </c>
      <c r="K169" s="3">
        <v>85.3</v>
      </c>
      <c r="L169" s="3">
        <v>26120.769531000002</v>
      </c>
      <c r="N169" s="5">
        <v>-1.4705885003216679E-3</v>
      </c>
      <c r="O169" s="5">
        <v>1.0613307171649211E-2</v>
      </c>
      <c r="P169" s="5">
        <v>1.1743982559413446E-3</v>
      </c>
      <c r="Q169" s="5">
        <v>-3.3277900926753645E-3</v>
      </c>
      <c r="R169" s="5">
        <v>-3.6264772291731973E-3</v>
      </c>
      <c r="S169" s="5">
        <v>-5.203827875027045E-3</v>
      </c>
      <c r="T169" s="5">
        <v>-9.1563752859862291E-3</v>
      </c>
      <c r="U169" s="5">
        <v>-1.9452425926815842E-2</v>
      </c>
      <c r="V169" s="5">
        <v>0</v>
      </c>
      <c r="W169" s="5">
        <v>-4.1897210888931724E-2</v>
      </c>
      <c r="X169" s="5">
        <v>-6.9715420627183278E-3</v>
      </c>
      <c r="AZ169" s="3" t="s">
        <v>175</v>
      </c>
      <c r="BA169" s="3">
        <v>164</v>
      </c>
      <c r="BB169" s="3">
        <v>0.98278356396118449</v>
      </c>
      <c r="BC169" s="3">
        <v>0.98530650759393523</v>
      </c>
      <c r="BD169" s="3">
        <v>0.90563861516414335</v>
      </c>
      <c r="BE169" s="3">
        <v>0.48469653359117387</v>
      </c>
      <c r="BG169" s="3">
        <v>-3.7503833119012925E-3</v>
      </c>
      <c r="BH169" s="3">
        <v>-1.2303873209170927E-3</v>
      </c>
      <c r="BI169" s="3">
        <v>9.3243386986496535E-3</v>
      </c>
      <c r="BJ169" s="3">
        <v>2.5267647099712076E-2</v>
      </c>
    </row>
    <row r="170" spans="1:62" x14ac:dyDescent="0.2">
      <c r="A170" s="3" t="s">
        <v>178</v>
      </c>
      <c r="B170" s="3">
        <v>67.95</v>
      </c>
      <c r="C170" s="3">
        <v>85.25</v>
      </c>
      <c r="D170" s="3">
        <v>17.04</v>
      </c>
      <c r="E170" s="3">
        <v>60</v>
      </c>
      <c r="F170" s="3">
        <v>55.05</v>
      </c>
      <c r="G170" s="3">
        <v>172.5</v>
      </c>
      <c r="H170" s="3">
        <v>38.049999999999997</v>
      </c>
      <c r="I170" s="3">
        <v>112</v>
      </c>
      <c r="J170" s="3">
        <v>9.67</v>
      </c>
      <c r="K170" s="3">
        <v>81.8</v>
      </c>
      <c r="L170" s="3">
        <v>25939.300781000002</v>
      </c>
      <c r="N170" s="5">
        <v>-3.6859606789239052E-3</v>
      </c>
      <c r="O170" s="5">
        <v>-8.2450408190366531E-3</v>
      </c>
      <c r="P170" s="5">
        <v>-8.2498994721418306E-3</v>
      </c>
      <c r="Q170" s="5">
        <v>-1.5960019578729501E-2</v>
      </c>
      <c r="R170" s="5">
        <v>-6.3781537407541222E-3</v>
      </c>
      <c r="S170" s="5">
        <v>-1.1661939747843242E-2</v>
      </c>
      <c r="T170" s="5">
        <v>-1.7230379887208436E-2</v>
      </c>
      <c r="U170" s="5">
        <v>-1.529494503563722E-2</v>
      </c>
      <c r="V170" s="5">
        <v>-3.1515213214872162E-2</v>
      </c>
      <c r="W170" s="5">
        <v>-6.4375535235491554E-2</v>
      </c>
      <c r="X170" s="5">
        <v>-4.4270233203906884E-3</v>
      </c>
      <c r="AZ170" s="3" t="s">
        <v>176</v>
      </c>
      <c r="BA170" s="3">
        <v>165</v>
      </c>
      <c r="BB170" s="3">
        <v>0.97910465186107221</v>
      </c>
      <c r="BC170" s="3">
        <v>0.9840949444585787</v>
      </c>
      <c r="BD170" s="3">
        <v>0.91412258860281004</v>
      </c>
      <c r="BE170" s="3">
        <v>0.49709971425032096</v>
      </c>
      <c r="BG170" s="3">
        <v>8.9524338927864777E-3</v>
      </c>
      <c r="BH170" s="3">
        <v>7.76756547544598E-3</v>
      </c>
      <c r="BI170" s="3">
        <v>3.8180499771301307E-3</v>
      </c>
      <c r="BJ170" s="3">
        <v>-2.3268959746727269E-3</v>
      </c>
    </row>
    <row r="171" spans="1:62" x14ac:dyDescent="0.2">
      <c r="A171" s="3" t="s">
        <v>179</v>
      </c>
      <c r="B171" s="3">
        <v>67.7</v>
      </c>
      <c r="C171" s="3">
        <v>84.55</v>
      </c>
      <c r="D171" s="3">
        <v>16.899999999999999</v>
      </c>
      <c r="E171" s="3">
        <v>59.05</v>
      </c>
      <c r="F171" s="3">
        <v>54.7</v>
      </c>
      <c r="G171" s="3">
        <v>170.5</v>
      </c>
      <c r="H171" s="3">
        <v>37.4</v>
      </c>
      <c r="I171" s="3">
        <v>110.3</v>
      </c>
      <c r="J171" s="3">
        <v>9.3699999999999992</v>
      </c>
      <c r="K171" s="3">
        <v>76.7</v>
      </c>
      <c r="L171" s="3">
        <v>25824.720702999999</v>
      </c>
      <c r="N171" s="5">
        <v>-2.6189300754905886E-2</v>
      </c>
      <c r="O171" s="5">
        <v>-1.9708013203340258E-2</v>
      </c>
      <c r="P171" s="5">
        <v>-2.3953241022492744E-2</v>
      </c>
      <c r="Q171" s="5">
        <v>-2.312736912931701E-2</v>
      </c>
      <c r="R171" s="5">
        <v>-1.8450707913116204E-2</v>
      </c>
      <c r="S171" s="5">
        <v>-2.6145280104322488E-2</v>
      </c>
      <c r="T171" s="5">
        <v>-2.8476500440957953E-2</v>
      </c>
      <c r="U171" s="5">
        <v>-1.8298772252512308E-2</v>
      </c>
      <c r="V171" s="5">
        <v>-1.6138058681828049E-2</v>
      </c>
      <c r="W171" s="5">
        <v>-1.7757783300705654E-2</v>
      </c>
      <c r="X171" s="5">
        <v>-2.1267177062224363E-2</v>
      </c>
      <c r="AZ171" s="3" t="s">
        <v>177</v>
      </c>
      <c r="BA171" s="3">
        <v>166</v>
      </c>
      <c r="BB171" s="3">
        <v>0.98790937457474715</v>
      </c>
      <c r="BC171" s="3">
        <v>0.99176873111068053</v>
      </c>
      <c r="BD171" s="3">
        <v>0.91761942563266097</v>
      </c>
      <c r="BE171" s="3">
        <v>0.49594435964251427</v>
      </c>
      <c r="BG171" s="3">
        <v>-7.2037303661522546E-3</v>
      </c>
      <c r="BH171" s="3">
        <v>-5.8298125656982801E-3</v>
      </c>
      <c r="BI171" s="3">
        <v>2.0858879005688225E-3</v>
      </c>
      <c r="BJ171" s="3">
        <v>1.2567176935804003E-2</v>
      </c>
    </row>
    <row r="172" spans="1:62" x14ac:dyDescent="0.2">
      <c r="A172" s="3" t="s">
        <v>180</v>
      </c>
      <c r="B172" s="3">
        <v>65.95</v>
      </c>
      <c r="C172" s="3">
        <v>82.9</v>
      </c>
      <c r="D172" s="3">
        <v>16.5</v>
      </c>
      <c r="E172" s="3">
        <v>57.7</v>
      </c>
      <c r="F172" s="3">
        <v>53.7</v>
      </c>
      <c r="G172" s="3">
        <v>166.1</v>
      </c>
      <c r="H172" s="3">
        <v>36.35</v>
      </c>
      <c r="I172" s="3">
        <v>108.3</v>
      </c>
      <c r="J172" s="3">
        <v>9.2200000000000006</v>
      </c>
      <c r="K172" s="3">
        <v>75.349999999999994</v>
      </c>
      <c r="L172" s="3">
        <v>25281.300781000002</v>
      </c>
      <c r="N172" s="5">
        <v>-1.2972329948799377E-2</v>
      </c>
      <c r="O172" s="5">
        <v>-2.1335768180648529E-2</v>
      </c>
      <c r="P172" s="5">
        <v>-1.8349138668196652E-2</v>
      </c>
      <c r="Q172" s="5">
        <v>5.1858370323651926E-3</v>
      </c>
      <c r="R172" s="5">
        <v>-1.5955289198572142E-2</v>
      </c>
      <c r="S172" s="5">
        <v>-4.8280117922701038E-3</v>
      </c>
      <c r="T172" s="5">
        <v>-8.2873402485703629E-3</v>
      </c>
      <c r="U172" s="5">
        <v>0</v>
      </c>
      <c r="V172" s="5">
        <v>-1.4200129379115189E-2</v>
      </c>
      <c r="W172" s="5">
        <v>3.7764904347758588E-2</v>
      </c>
      <c r="X172" s="5">
        <v>8.2945956654079112E-4</v>
      </c>
      <c r="AZ172" s="3" t="s">
        <v>178</v>
      </c>
      <c r="BA172" s="3">
        <v>167</v>
      </c>
      <c r="BB172" s="3">
        <v>0.98081831352513038</v>
      </c>
      <c r="BC172" s="3">
        <v>0.9860037260769674</v>
      </c>
      <c r="BD172" s="3">
        <v>0.91953547452680173</v>
      </c>
      <c r="BE172" s="3">
        <v>0.50221630795664729</v>
      </c>
      <c r="BG172" s="3">
        <v>-1.7828904416148206E-2</v>
      </c>
      <c r="BH172" s="3">
        <v>-1.5859097932808569E-2</v>
      </c>
      <c r="BI172" s="3">
        <v>-6.0175476676848499E-3</v>
      </c>
      <c r="BJ172" s="3">
        <v>7.4876873492940588E-3</v>
      </c>
    </row>
    <row r="173" spans="1:62" x14ac:dyDescent="0.2">
      <c r="A173" s="3" t="s">
        <v>181</v>
      </c>
      <c r="B173" s="3">
        <v>65.099999999999994</v>
      </c>
      <c r="C173" s="3">
        <v>81.150000000000006</v>
      </c>
      <c r="D173" s="3">
        <v>16.2</v>
      </c>
      <c r="E173" s="3">
        <v>58</v>
      </c>
      <c r="F173" s="3">
        <v>52.85</v>
      </c>
      <c r="G173" s="3">
        <v>165.3</v>
      </c>
      <c r="H173" s="3">
        <v>36.049999999999997</v>
      </c>
      <c r="I173" s="3">
        <v>108.3</v>
      </c>
      <c r="J173" s="3">
        <v>9.09</v>
      </c>
      <c r="K173" s="3">
        <v>78.25</v>
      </c>
      <c r="L173" s="3">
        <v>25302.279297000001</v>
      </c>
      <c r="N173" s="5">
        <v>2.2028995626596881E-2</v>
      </c>
      <c r="O173" s="5">
        <v>4.3037262862162251E-3</v>
      </c>
      <c r="P173" s="5">
        <v>8.6048471935185056E-3</v>
      </c>
      <c r="Q173" s="5">
        <v>-2.0906684819313348E-2</v>
      </c>
      <c r="R173" s="5">
        <v>7.5400922732877795E-3</v>
      </c>
      <c r="S173" s="5">
        <v>2.4500777390975337E-2</v>
      </c>
      <c r="T173" s="5">
        <v>3.6763840689528315E-2</v>
      </c>
      <c r="U173" s="5">
        <v>3.9824267038786054E-2</v>
      </c>
      <c r="V173" s="5">
        <v>7.5207477487138963E-2</v>
      </c>
      <c r="W173" s="5">
        <v>1.7733206935794499E-2</v>
      </c>
      <c r="X173" s="5">
        <v>7.6059514226383129E-3</v>
      </c>
      <c r="AZ173" s="3" t="s">
        <v>179</v>
      </c>
      <c r="BA173" s="3">
        <v>168</v>
      </c>
      <c r="BB173" s="3">
        <v>0.96348636152772782</v>
      </c>
      <c r="BC173" s="3">
        <v>0.97048993891392643</v>
      </c>
      <c r="BD173" s="3">
        <v>0.9140187412266485</v>
      </c>
      <c r="BE173" s="3">
        <v>0.5059908603512987</v>
      </c>
      <c r="BG173" s="3">
        <v>-2.1862180521392133E-2</v>
      </c>
      <c r="BH173" s="3">
        <v>-2.1902538188669544E-2</v>
      </c>
      <c r="BI173" s="3">
        <v>-2.0758008274355214E-2</v>
      </c>
      <c r="BJ173" s="3">
        <v>-1.9228953561112427E-2</v>
      </c>
    </row>
    <row r="174" spans="1:62" x14ac:dyDescent="0.2">
      <c r="A174" s="3" t="s">
        <v>182</v>
      </c>
      <c r="B174" s="3">
        <v>66.55</v>
      </c>
      <c r="C174" s="3">
        <v>81.5</v>
      </c>
      <c r="D174" s="3">
        <v>16.34</v>
      </c>
      <c r="E174" s="3">
        <v>56.8</v>
      </c>
      <c r="F174" s="3">
        <v>53.25</v>
      </c>
      <c r="G174" s="3">
        <v>169.4</v>
      </c>
      <c r="H174" s="3">
        <v>37.4</v>
      </c>
      <c r="I174" s="3">
        <v>112.7</v>
      </c>
      <c r="J174" s="3">
        <v>9.8000000000000007</v>
      </c>
      <c r="K174" s="3">
        <v>79.650000000000006</v>
      </c>
      <c r="L174" s="3">
        <v>25495.460938</v>
      </c>
      <c r="N174" s="5">
        <v>2.0082489723529662E-2</v>
      </c>
      <c r="O174" s="5">
        <v>7.3349962115658585E-3</v>
      </c>
      <c r="P174" s="5">
        <v>1.6990699995445446E-2</v>
      </c>
      <c r="Q174" s="5">
        <v>-5.2956875747103282E-3</v>
      </c>
      <c r="R174" s="5">
        <v>1.5836381262900989E-2</v>
      </c>
      <c r="S174" s="5">
        <v>-1.2474174225175716E-2</v>
      </c>
      <c r="T174" s="5">
        <v>2.2472855852058604E-2</v>
      </c>
      <c r="U174" s="5">
        <v>3.5733649348395957E-2</v>
      </c>
      <c r="V174" s="5">
        <v>6.1344650648694543E-2</v>
      </c>
      <c r="W174" s="5">
        <v>2.2960983890759401E-2</v>
      </c>
      <c r="X174" s="5">
        <v>9.3212171565930646E-3</v>
      </c>
      <c r="AZ174" s="3" t="s">
        <v>180</v>
      </c>
      <c r="BA174" s="3">
        <v>169</v>
      </c>
      <c r="BB174" s="3">
        <v>0.94265103149114493</v>
      </c>
      <c r="BC174" s="3">
        <v>0.94946483801165704</v>
      </c>
      <c r="BD174" s="3">
        <v>0.89524110010918012</v>
      </c>
      <c r="BE174" s="3">
        <v>0.49635413460311717</v>
      </c>
      <c r="BG174" s="3">
        <v>-5.8109178267319941E-3</v>
      </c>
      <c r="BH174" s="3">
        <v>-7.0688207054357827E-3</v>
      </c>
      <c r="BI174" s="3">
        <v>-2.0059317161312304E-2</v>
      </c>
      <c r="BJ174" s="3">
        <v>-3.591358714086379E-2</v>
      </c>
    </row>
    <row r="175" spans="1:62" x14ac:dyDescent="0.2">
      <c r="A175" s="3" t="s">
        <v>183</v>
      </c>
      <c r="B175" s="3">
        <v>67.900000000000006</v>
      </c>
      <c r="C175" s="3">
        <v>82.1</v>
      </c>
      <c r="D175" s="3">
        <v>16.62</v>
      </c>
      <c r="E175" s="3">
        <v>56.5</v>
      </c>
      <c r="F175" s="3">
        <v>54.1</v>
      </c>
      <c r="G175" s="3">
        <v>167.3</v>
      </c>
      <c r="H175" s="3">
        <v>38.25</v>
      </c>
      <c r="I175" s="3">
        <v>116.8</v>
      </c>
      <c r="J175" s="3">
        <v>10.42</v>
      </c>
      <c r="K175" s="3">
        <v>81.5</v>
      </c>
      <c r="L175" s="3">
        <v>25734.220702999999</v>
      </c>
      <c r="N175" s="5">
        <v>2.9744666546839937E-2</v>
      </c>
      <c r="O175" s="5">
        <v>1.2106685403019846E-2</v>
      </c>
      <c r="P175" s="5">
        <v>1.78895647507753E-2</v>
      </c>
      <c r="Q175" s="5">
        <v>2.5339931633365786E-2</v>
      </c>
      <c r="R175" s="5">
        <v>7.366515816762842E-3</v>
      </c>
      <c r="S175" s="5">
        <v>4.041545642562383E-2</v>
      </c>
      <c r="T175" s="5">
        <v>2.8352414590867347E-2</v>
      </c>
      <c r="U175" s="5">
        <v>2.0339684237122846E-2</v>
      </c>
      <c r="V175" s="5">
        <v>-3.8461585874784987E-3</v>
      </c>
      <c r="W175" s="5">
        <v>4.2852835703266479E-3</v>
      </c>
      <c r="X175" s="5">
        <v>2.1436967902831228E-2</v>
      </c>
      <c r="AZ175" s="3" t="s">
        <v>181</v>
      </c>
      <c r="BA175" s="3">
        <v>170</v>
      </c>
      <c r="BB175" s="3">
        <v>0.937189248163805</v>
      </c>
      <c r="BC175" s="3">
        <v>0.94277690704672512</v>
      </c>
      <c r="BD175" s="3">
        <v>0.87746208851273177</v>
      </c>
      <c r="BE175" s="3">
        <v>0.47884457461612856</v>
      </c>
      <c r="BG175" s="3">
        <v>2.1526777896230191E-2</v>
      </c>
      <c r="BH175" s="3">
        <v>1.6870448724500366E-2</v>
      </c>
      <c r="BI175" s="3">
        <v>1.3416624299055394E-2</v>
      </c>
      <c r="BJ175" s="3">
        <v>1.7821100981694205E-3</v>
      </c>
    </row>
    <row r="176" spans="1:62" x14ac:dyDescent="0.2">
      <c r="A176" s="3" t="s">
        <v>184</v>
      </c>
      <c r="B176" s="3">
        <v>69.95</v>
      </c>
      <c r="C176" s="3">
        <v>83.1</v>
      </c>
      <c r="D176" s="3">
        <v>16.920000000000002</v>
      </c>
      <c r="E176" s="3">
        <v>57.95</v>
      </c>
      <c r="F176" s="3">
        <v>54.5</v>
      </c>
      <c r="G176" s="3">
        <v>174.2</v>
      </c>
      <c r="H176" s="3">
        <v>39.35</v>
      </c>
      <c r="I176" s="3">
        <v>119.2</v>
      </c>
      <c r="J176" s="3">
        <v>10.38</v>
      </c>
      <c r="K176" s="3">
        <v>81.849999999999994</v>
      </c>
      <c r="L176" s="3">
        <v>26291.839843999998</v>
      </c>
      <c r="N176" s="5">
        <v>2.1420929290538737E-3</v>
      </c>
      <c r="O176" s="5">
        <v>-5.4298775943690814E-3</v>
      </c>
      <c r="P176" s="5">
        <v>1.0582109330536937E-2</v>
      </c>
      <c r="Q176" s="5">
        <v>-9.5362664602403058E-3</v>
      </c>
      <c r="R176" s="5">
        <v>0</v>
      </c>
      <c r="S176" s="5">
        <v>-1.5037877364540542E-2</v>
      </c>
      <c r="T176" s="5">
        <v>-1.1501724239011857E-2</v>
      </c>
      <c r="U176" s="5">
        <v>-2.1196215338739499E-2</v>
      </c>
      <c r="V176" s="5">
        <v>-9.6806177107233715E-3</v>
      </c>
      <c r="W176" s="5">
        <v>-2.4464844006697462E-3</v>
      </c>
      <c r="X176" s="5">
        <v>-2.2961511139811819E-3</v>
      </c>
      <c r="AZ176" s="3" t="s">
        <v>182</v>
      </c>
      <c r="BA176" s="3">
        <v>171</v>
      </c>
      <c r="BB176" s="3">
        <v>0.95758262730550647</v>
      </c>
      <c r="BC176" s="3">
        <v>0.95881689700034278</v>
      </c>
      <c r="BD176" s="3">
        <v>0.88931399620351081</v>
      </c>
      <c r="BE176" s="3">
        <v>0.47969868920507291</v>
      </c>
      <c r="BG176" s="3">
        <v>1.895670949623933E-2</v>
      </c>
      <c r="BH176" s="3">
        <v>1.6237444621065421E-2</v>
      </c>
      <c r="BI176" s="3">
        <v>1.7374419256354912E-2</v>
      </c>
      <c r="BJ176" s="3">
        <v>1.5197464978029984E-2</v>
      </c>
    </row>
    <row r="177" spans="1:62" x14ac:dyDescent="0.2">
      <c r="A177" s="3" t="s">
        <v>185</v>
      </c>
      <c r="B177" s="3">
        <v>70.099999999999994</v>
      </c>
      <c r="C177" s="3">
        <v>82.65</v>
      </c>
      <c r="D177" s="3">
        <v>17.100000000000001</v>
      </c>
      <c r="E177" s="3">
        <v>57.4</v>
      </c>
      <c r="F177" s="3">
        <v>54.5</v>
      </c>
      <c r="G177" s="3">
        <v>171.6</v>
      </c>
      <c r="H177" s="3">
        <v>38.9</v>
      </c>
      <c r="I177" s="3">
        <v>116.7</v>
      </c>
      <c r="J177" s="3">
        <v>10.28</v>
      </c>
      <c r="K177" s="3">
        <v>81.650000000000006</v>
      </c>
      <c r="L177" s="3">
        <v>26231.539063</v>
      </c>
      <c r="N177" s="5">
        <v>1.6973533379705863E-2</v>
      </c>
      <c r="O177" s="5">
        <v>-2.4227752614258691E-3</v>
      </c>
      <c r="P177" s="5">
        <v>-5.4067221270276189E-2</v>
      </c>
      <c r="Q177" s="5">
        <v>-3.4904049397690429E-3</v>
      </c>
      <c r="R177" s="5">
        <v>-2.7560881019801364E-3</v>
      </c>
      <c r="S177" s="5">
        <v>-1.7497817237872582E-3</v>
      </c>
      <c r="T177" s="5">
        <v>-2.5740039951727134E-3</v>
      </c>
      <c r="U177" s="5">
        <v>-2.5740039951722693E-3</v>
      </c>
      <c r="V177" s="5">
        <v>-5.8536752514606327E-3</v>
      </c>
      <c r="W177" s="5">
        <v>0</v>
      </c>
      <c r="X177" s="5">
        <v>1.4666228435515904E-3</v>
      </c>
      <c r="AZ177" s="3" t="s">
        <v>183</v>
      </c>
      <c r="BA177" s="3">
        <v>172</v>
      </c>
      <c r="BB177" s="3">
        <v>0.97590839230421556</v>
      </c>
      <c r="BC177" s="3">
        <v>0.97451271842794585</v>
      </c>
      <c r="BD177" s="3">
        <v>0.90490032000068532</v>
      </c>
      <c r="BE177" s="3">
        <v>0.48704457124176709</v>
      </c>
      <c r="BG177" s="3">
        <v>1.7960781485036874E-2</v>
      </c>
      <c r="BH177" s="3">
        <v>1.8049255307494929E-2</v>
      </c>
      <c r="BI177" s="3">
        <v>1.2749370338862628E-2</v>
      </c>
      <c r="BJ177" s="3">
        <v>5.5264755610233696E-3</v>
      </c>
    </row>
    <row r="178" spans="1:62" x14ac:dyDescent="0.2">
      <c r="A178" s="3" t="s">
        <v>186</v>
      </c>
      <c r="B178" s="3">
        <v>71.3</v>
      </c>
      <c r="C178" s="3">
        <v>82.45</v>
      </c>
      <c r="D178" s="3">
        <v>16.2</v>
      </c>
      <c r="E178" s="3">
        <v>57.2</v>
      </c>
      <c r="F178" s="3">
        <v>54.35</v>
      </c>
      <c r="G178" s="3">
        <v>171.3</v>
      </c>
      <c r="H178" s="3">
        <v>38.799999999999997</v>
      </c>
      <c r="I178" s="3">
        <v>116.4</v>
      </c>
      <c r="J178" s="3">
        <v>10.220000000000001</v>
      </c>
      <c r="K178" s="3">
        <v>81.650000000000006</v>
      </c>
      <c r="L178" s="3">
        <v>26270.039063</v>
      </c>
      <c r="N178" s="5">
        <v>-4.9209238141987299E-3</v>
      </c>
      <c r="O178" s="5">
        <v>-1.1589028758790754E-2</v>
      </c>
      <c r="P178" s="5">
        <v>-3.6459097826798459E-2</v>
      </c>
      <c r="Q178" s="5">
        <v>-6.1376781892068522E-3</v>
      </c>
      <c r="R178" s="5">
        <v>-5.5350694820011093E-3</v>
      </c>
      <c r="S178" s="5">
        <v>-1.4701823168217665E-2</v>
      </c>
      <c r="T178" s="5">
        <v>-3.2746868419084141E-2</v>
      </c>
      <c r="U178" s="5">
        <v>-1.8205964496572413E-2</v>
      </c>
      <c r="V178" s="5">
        <v>-1.5779420103965158E-2</v>
      </c>
      <c r="W178" s="5">
        <v>-3.4260591564645004E-2</v>
      </c>
      <c r="X178" s="5">
        <v>-8.4604329740418649E-3</v>
      </c>
      <c r="AZ178" s="3" t="s">
        <v>184</v>
      </c>
      <c r="BA178" s="3">
        <v>173</v>
      </c>
      <c r="BB178" s="3">
        <v>0.99359482531458465</v>
      </c>
      <c r="BC178" s="3">
        <v>0.99226164287300556</v>
      </c>
      <c r="BD178" s="3">
        <v>0.91651108701074602</v>
      </c>
      <c r="BE178" s="3">
        <v>0.48974366252324747</v>
      </c>
      <c r="BG178" s="3">
        <v>-6.0576292504398652E-3</v>
      </c>
      <c r="BH178" s="3">
        <v>-4.8155507608560024E-3</v>
      </c>
      <c r="BI178" s="3">
        <v>1.0679222698304347E-3</v>
      </c>
      <c r="BJ178" s="3">
        <v>1.0534903496292602E-2</v>
      </c>
    </row>
    <row r="179" spans="1:62" x14ac:dyDescent="0.2">
      <c r="A179" s="3" t="s">
        <v>187</v>
      </c>
      <c r="B179" s="3">
        <v>70.95</v>
      </c>
      <c r="C179" s="3">
        <v>81.5</v>
      </c>
      <c r="D179" s="3">
        <v>15.62</v>
      </c>
      <c r="E179" s="3">
        <v>56.85</v>
      </c>
      <c r="F179" s="3">
        <v>54.05</v>
      </c>
      <c r="G179" s="3">
        <v>168.8</v>
      </c>
      <c r="H179" s="3">
        <v>37.549999999999997</v>
      </c>
      <c r="I179" s="3">
        <v>114.3</v>
      </c>
      <c r="J179" s="3">
        <v>10.06</v>
      </c>
      <c r="K179" s="3">
        <v>78.900000000000006</v>
      </c>
      <c r="L179" s="3">
        <v>26048.720702999999</v>
      </c>
      <c r="N179" s="5">
        <v>-4.2372944755149078E-3</v>
      </c>
      <c r="O179" s="5">
        <v>-6.1538655743778037E-3</v>
      </c>
      <c r="P179" s="5">
        <v>1.3986241974739855E-2</v>
      </c>
      <c r="Q179" s="5">
        <v>4.387896465419594E-3</v>
      </c>
      <c r="R179" s="5">
        <v>6.454609776679554E-3</v>
      </c>
      <c r="S179" s="5">
        <v>-7.7312308967361076E-3</v>
      </c>
      <c r="T179" s="5">
        <v>6.6357244153985029E-3</v>
      </c>
      <c r="U179" s="5">
        <v>0</v>
      </c>
      <c r="V179" s="5">
        <v>7.9208334914437906E-3</v>
      </c>
      <c r="W179" s="5">
        <v>-1.2755274975126518E-2</v>
      </c>
      <c r="X179" s="5">
        <v>5.0015133750687113E-3</v>
      </c>
      <c r="AZ179" s="3" t="s">
        <v>185</v>
      </c>
      <c r="BA179" s="3">
        <v>174</v>
      </c>
      <c r="BB179" s="3">
        <v>0.98759418940085886</v>
      </c>
      <c r="BC179" s="3">
        <v>0.98749484315834646</v>
      </c>
      <c r="BD179" s="3">
        <v>0.91749037241838949</v>
      </c>
      <c r="BE179" s="3">
        <v>0.4949303373353362</v>
      </c>
      <c r="BG179" s="3">
        <v>-7.0111716683595292E-3</v>
      </c>
      <c r="BH179" s="3">
        <v>-7.9890083790030968E-3</v>
      </c>
      <c r="BI179" s="3">
        <v>-1.5101482146425302E-2</v>
      </c>
      <c r="BJ179" s="3">
        <v>-2.3034215945783365E-2</v>
      </c>
    </row>
    <row r="180" spans="1:62" x14ac:dyDescent="0.2">
      <c r="A180" s="3" t="s">
        <v>188</v>
      </c>
      <c r="B180" s="3">
        <v>70.650000000000006</v>
      </c>
      <c r="C180" s="3">
        <v>81</v>
      </c>
      <c r="D180" s="3">
        <v>15.84</v>
      </c>
      <c r="E180" s="3">
        <v>57.1</v>
      </c>
      <c r="F180" s="3">
        <v>54.4</v>
      </c>
      <c r="G180" s="3">
        <v>167.5</v>
      </c>
      <c r="H180" s="3">
        <v>37.799999999999997</v>
      </c>
      <c r="I180" s="3">
        <v>114.3</v>
      </c>
      <c r="J180" s="3">
        <v>10.14</v>
      </c>
      <c r="K180" s="3">
        <v>77.900000000000006</v>
      </c>
      <c r="L180" s="3">
        <v>26179.330077999999</v>
      </c>
      <c r="N180" s="5">
        <v>-1.9293202934679066E-2</v>
      </c>
      <c r="O180" s="5">
        <v>-1.7435061822101972E-2</v>
      </c>
      <c r="P180" s="5">
        <v>-2.0408871631206971E-2</v>
      </c>
      <c r="Q180" s="5">
        <v>-1.5887359762318809E-2</v>
      </c>
      <c r="R180" s="5">
        <v>-2.0427822690098019E-2</v>
      </c>
      <c r="S180" s="5">
        <v>-1.0201108563926198E-2</v>
      </c>
      <c r="T180" s="5">
        <v>-2.4097551579060461E-2</v>
      </c>
      <c r="U180" s="5">
        <v>-2.1220955482885273E-2</v>
      </c>
      <c r="V180" s="5">
        <v>-3.0032287098875177E-2</v>
      </c>
      <c r="W180" s="5">
        <v>2.5641039689379141E-3</v>
      </c>
      <c r="X180" s="5">
        <v>-1.9244838834890032E-2</v>
      </c>
      <c r="AZ180" s="3" t="s">
        <v>186</v>
      </c>
      <c r="BA180" s="3">
        <v>175</v>
      </c>
      <c r="BB180" s="3">
        <v>0.98069421372217136</v>
      </c>
      <c r="BC180" s="3">
        <v>0.97963716789138366</v>
      </c>
      <c r="BD180" s="3">
        <v>0.90373900231266058</v>
      </c>
      <c r="BE180" s="3">
        <v>0.4836603015812988</v>
      </c>
      <c r="BG180" s="3">
        <v>-1.8576789899758552E-2</v>
      </c>
      <c r="BH180" s="3">
        <v>-1.7498921718136617E-2</v>
      </c>
      <c r="BI180" s="3">
        <v>-1.5579694433016253E-2</v>
      </c>
      <c r="BJ180" s="3">
        <v>-1.0356165610450385E-2</v>
      </c>
    </row>
    <row r="181" spans="1:62" x14ac:dyDescent="0.2">
      <c r="A181" s="3" t="s">
        <v>189</v>
      </c>
      <c r="B181" s="3">
        <v>69.3</v>
      </c>
      <c r="C181" s="3">
        <v>79.599999999999994</v>
      </c>
      <c r="D181" s="3">
        <v>15.52</v>
      </c>
      <c r="E181" s="3">
        <v>56.2</v>
      </c>
      <c r="F181" s="3">
        <v>53.3</v>
      </c>
      <c r="G181" s="3">
        <v>165.8</v>
      </c>
      <c r="H181" s="3">
        <v>36.9</v>
      </c>
      <c r="I181" s="3">
        <v>111.9</v>
      </c>
      <c r="J181" s="3">
        <v>9.84</v>
      </c>
      <c r="K181" s="3">
        <v>78.099999999999994</v>
      </c>
      <c r="L181" s="3">
        <v>25680.330077999999</v>
      </c>
      <c r="N181" s="5">
        <v>0</v>
      </c>
      <c r="O181" s="5">
        <v>3.1357818106840796E-3</v>
      </c>
      <c r="P181" s="5">
        <v>-5.1679701584426141E-3</v>
      </c>
      <c r="Q181" s="5">
        <v>-2.6726073814771212E-3</v>
      </c>
      <c r="R181" s="5">
        <v>3.7453227301620373E-3</v>
      </c>
      <c r="S181" s="5">
        <v>6.6125879665950293E-3</v>
      </c>
      <c r="T181" s="5">
        <v>-1.3559324111360738E-3</v>
      </c>
      <c r="U181" s="5">
        <v>5.3476063265947005E-3</v>
      </c>
      <c r="V181" s="5">
        <v>2.0304575503820033E-3</v>
      </c>
      <c r="W181" s="5">
        <v>4.4714223334016978E-3</v>
      </c>
      <c r="X181" s="5">
        <v>-6.3336081129428123E-4</v>
      </c>
      <c r="AZ181" s="3" t="s">
        <v>187</v>
      </c>
      <c r="BA181" s="3">
        <v>176</v>
      </c>
      <c r="BB181" s="3">
        <v>0.96264423774358343</v>
      </c>
      <c r="BC181" s="3">
        <v>0.96264369116974224</v>
      </c>
      <c r="BD181" s="3">
        <v>0.88976813829647372</v>
      </c>
      <c r="BE181" s="3">
        <v>0.47867728242048035</v>
      </c>
      <c r="BG181" s="3">
        <v>1.2353098924989883E-3</v>
      </c>
      <c r="BH181" s="3">
        <v>1.6438894606007406E-3</v>
      </c>
      <c r="BI181" s="3">
        <v>5.0077027598523921E-3</v>
      </c>
      <c r="BJ181" s="3">
        <v>9.3294727658597143E-3</v>
      </c>
    </row>
    <row r="182" spans="1:62" x14ac:dyDescent="0.2">
      <c r="A182" s="3" t="s">
        <v>190</v>
      </c>
      <c r="B182" s="3">
        <v>69.3</v>
      </c>
      <c r="C182" s="3">
        <v>79.849999999999994</v>
      </c>
      <c r="D182" s="3">
        <v>15.44</v>
      </c>
      <c r="E182" s="3">
        <v>56.05</v>
      </c>
      <c r="F182" s="3">
        <v>53.5</v>
      </c>
      <c r="G182" s="3">
        <v>166.9</v>
      </c>
      <c r="H182" s="3">
        <v>36.85</v>
      </c>
      <c r="I182" s="3">
        <v>112.5</v>
      </c>
      <c r="J182" s="3">
        <v>9.86</v>
      </c>
      <c r="K182" s="3">
        <v>78.45</v>
      </c>
      <c r="L182" s="3">
        <v>25664.070313</v>
      </c>
      <c r="N182" s="5">
        <v>-1.0881500187534421E-2</v>
      </c>
      <c r="O182" s="5">
        <v>-3.7641198772258022E-3</v>
      </c>
      <c r="P182" s="5">
        <v>-9.1087161982401632E-3</v>
      </c>
      <c r="Q182" s="5">
        <v>0</v>
      </c>
      <c r="R182" s="5">
        <v>3.7313476128582046E-3</v>
      </c>
      <c r="S182" s="5">
        <v>-7.8195887166305766E-3</v>
      </c>
      <c r="T182" s="5">
        <v>1.3559324111360738E-3</v>
      </c>
      <c r="U182" s="5">
        <v>6.2029441246078676E-3</v>
      </c>
      <c r="V182" s="5">
        <v>1.4098924379501998E-2</v>
      </c>
      <c r="W182" s="5">
        <v>-7.035526302339612E-3</v>
      </c>
      <c r="X182" s="5">
        <v>-1.8950968875941498E-3</v>
      </c>
      <c r="AZ182" s="3" t="s">
        <v>188</v>
      </c>
      <c r="BA182" s="3">
        <v>177</v>
      </c>
      <c r="BB182" s="3">
        <v>0.96383413648895633</v>
      </c>
      <c r="BC182" s="3">
        <v>0.96422747241195206</v>
      </c>
      <c r="BD182" s="3">
        <v>0.89423500770070263</v>
      </c>
      <c r="BE182" s="3">
        <v>0.48316398583596204</v>
      </c>
      <c r="BG182" s="3">
        <v>-1.7903074803073279E-2</v>
      </c>
      <c r="BH182" s="3">
        <v>-1.774572784925213E-2</v>
      </c>
      <c r="BI182" s="3">
        <v>-2.095516032622137E-2</v>
      </c>
      <c r="BJ182" s="3">
        <v>-2.4216155184450749E-2</v>
      </c>
    </row>
    <row r="183" spans="1:62" x14ac:dyDescent="0.2">
      <c r="A183" s="3" t="s">
        <v>191</v>
      </c>
      <c r="B183" s="3">
        <v>68.55</v>
      </c>
      <c r="C183" s="3">
        <v>79.55</v>
      </c>
      <c r="D183" s="3">
        <v>15.3</v>
      </c>
      <c r="E183" s="3">
        <v>56.05</v>
      </c>
      <c r="F183" s="3">
        <v>53.7</v>
      </c>
      <c r="G183" s="3">
        <v>165.6</v>
      </c>
      <c r="H183" s="3">
        <v>36.9</v>
      </c>
      <c r="I183" s="3">
        <v>113.2</v>
      </c>
      <c r="J183" s="3">
        <v>10</v>
      </c>
      <c r="K183" s="3">
        <v>77.900000000000006</v>
      </c>
      <c r="L183" s="3">
        <v>25615.480468999998</v>
      </c>
      <c r="N183" s="5">
        <v>3.640338930974707E-3</v>
      </c>
      <c r="O183" s="5">
        <v>3.5199682131630716E-2</v>
      </c>
      <c r="P183" s="5">
        <v>7.8125397367934113E-3</v>
      </c>
      <c r="Q183" s="5">
        <v>1.7825316662838375E-3</v>
      </c>
      <c r="R183" s="5">
        <v>-4.666364043764748E-3</v>
      </c>
      <c r="S183" s="5">
        <v>7.8195887166305766E-3</v>
      </c>
      <c r="T183" s="5">
        <v>-5.434795985956864E-3</v>
      </c>
      <c r="U183" s="5">
        <v>-8.8378264700761378E-4</v>
      </c>
      <c r="V183" s="5">
        <v>-4.0080213975390855E-3</v>
      </c>
      <c r="W183" s="5">
        <v>1.9236940847386919E-3</v>
      </c>
      <c r="X183" s="5">
        <v>3.4302948540876343E-3</v>
      </c>
      <c r="AZ183" s="3" t="s">
        <v>189</v>
      </c>
      <c r="BA183" s="3">
        <v>178</v>
      </c>
      <c r="BB183" s="3">
        <v>0.94673208826336575</v>
      </c>
      <c r="BC183" s="3">
        <v>0.94726748285268092</v>
      </c>
      <c r="BD183" s="3">
        <v>0.87569114314731678</v>
      </c>
      <c r="BE183" s="3">
        <v>0.47160414414236868</v>
      </c>
      <c r="BG183" s="3">
        <v>1.5730521148416485E-3</v>
      </c>
      <c r="BH183" s="3">
        <v>1.3456005711208266E-3</v>
      </c>
      <c r="BI183" s="3">
        <v>1.3032154429164777E-3</v>
      </c>
      <c r="BJ183" s="3">
        <v>1.0762451043904164E-3</v>
      </c>
    </row>
    <row r="184" spans="1:62" x14ac:dyDescent="0.2">
      <c r="A184" s="3" t="s">
        <v>192</v>
      </c>
      <c r="B184" s="3">
        <v>68.8</v>
      </c>
      <c r="C184" s="3">
        <v>82.4</v>
      </c>
      <c r="D184" s="3">
        <v>15.42</v>
      </c>
      <c r="E184" s="3">
        <v>56.15</v>
      </c>
      <c r="F184" s="3">
        <v>53.45</v>
      </c>
      <c r="G184" s="3">
        <v>166.9</v>
      </c>
      <c r="H184" s="3">
        <v>36.700000000000003</v>
      </c>
      <c r="I184" s="3">
        <v>113.1</v>
      </c>
      <c r="J184" s="3">
        <v>9.9600000000000009</v>
      </c>
      <c r="K184" s="3">
        <v>78.05</v>
      </c>
      <c r="L184" s="3">
        <v>25703.5</v>
      </c>
      <c r="N184" s="5">
        <v>-7.2939783625534105E-3</v>
      </c>
      <c r="O184" s="5">
        <v>-2.0227474812660518E-2</v>
      </c>
      <c r="P184" s="5">
        <v>-1.8325120125880279E-2</v>
      </c>
      <c r="Q184" s="5">
        <v>2.6678539611921792E-3</v>
      </c>
      <c r="R184" s="5">
        <v>-2.3664142582461078E-2</v>
      </c>
      <c r="S184" s="5">
        <v>-1.9970406499142612E-2</v>
      </c>
      <c r="T184" s="5">
        <v>-5.4644944720787514E-3</v>
      </c>
      <c r="U184" s="5">
        <v>-1.7841686476490537E-2</v>
      </c>
      <c r="V184" s="5">
        <v>-1.8237587549780887E-2</v>
      </c>
      <c r="W184" s="5">
        <v>-1.6796260494134074E-2</v>
      </c>
      <c r="X184" s="5">
        <v>8.2563487066877883E-4</v>
      </c>
      <c r="AZ184" s="3" t="s">
        <v>190</v>
      </c>
      <c r="BA184" s="3">
        <v>179</v>
      </c>
      <c r="BB184" s="3">
        <v>0.94822251913237376</v>
      </c>
      <c r="BC184" s="3">
        <v>0.94854298448401719</v>
      </c>
      <c r="BD184" s="3">
        <v>0.87683310131542913</v>
      </c>
      <c r="BE184" s="3">
        <v>0.47211197902209479</v>
      </c>
      <c r="BG184" s="3">
        <v>-1.1855826237269426E-3</v>
      </c>
      <c r="BH184" s="3">
        <v>-1.771431046222495E-3</v>
      </c>
      <c r="BI184" s="3">
        <v>-1.6572394160240256E-3</v>
      </c>
      <c r="BJ184" s="3">
        <v>-2.2878003107128508E-3</v>
      </c>
    </row>
    <row r="185" spans="1:62" x14ac:dyDescent="0.2">
      <c r="A185" s="3" t="s">
        <v>193</v>
      </c>
      <c r="B185" s="3">
        <v>68.3</v>
      </c>
      <c r="C185" s="3">
        <v>80.75</v>
      </c>
      <c r="D185" s="3">
        <v>15.14</v>
      </c>
      <c r="E185" s="3">
        <v>56.3</v>
      </c>
      <c r="F185" s="3">
        <v>52.2</v>
      </c>
      <c r="G185" s="3">
        <v>163.6</v>
      </c>
      <c r="H185" s="3">
        <v>36.5</v>
      </c>
      <c r="I185" s="3">
        <v>111.1</v>
      </c>
      <c r="J185" s="3">
        <v>9.7799999999999994</v>
      </c>
      <c r="K185" s="3">
        <v>76.75</v>
      </c>
      <c r="L185" s="3">
        <v>25724.730468999998</v>
      </c>
      <c r="N185" s="5">
        <v>-1.9963694439562474E-2</v>
      </c>
      <c r="O185" s="5">
        <v>-2.9534034746403037E-2</v>
      </c>
      <c r="P185" s="5">
        <v>-1.5979035057889668E-2</v>
      </c>
      <c r="Q185" s="5">
        <v>-4.4503856274760167E-3</v>
      </c>
      <c r="R185" s="5">
        <v>-1.2530284425624316E-2</v>
      </c>
      <c r="S185" s="5">
        <v>-1.7263067423781031E-2</v>
      </c>
      <c r="T185" s="5">
        <v>-1.101939524961093E-2</v>
      </c>
      <c r="U185" s="5">
        <v>-2.8299469521364529E-2</v>
      </c>
      <c r="V185" s="5">
        <v>-1.3381568695831181E-2</v>
      </c>
      <c r="W185" s="5">
        <v>-1.4435946232941532E-2</v>
      </c>
      <c r="X185" s="5">
        <v>-3.8238503593532869E-3</v>
      </c>
      <c r="AZ185" s="3" t="s">
        <v>191</v>
      </c>
      <c r="BA185" s="3">
        <v>180</v>
      </c>
      <c r="BB185" s="3">
        <v>0.94709898914068491</v>
      </c>
      <c r="BC185" s="3">
        <v>0.946864193362981</v>
      </c>
      <c r="BD185" s="3">
        <v>0.87538118235961682</v>
      </c>
      <c r="BE185" s="3">
        <v>0.47103311567231715</v>
      </c>
      <c r="BG185" s="3">
        <v>4.2148734699697377E-3</v>
      </c>
      <c r="BH185" s="3">
        <v>4.9198300922871016E-3</v>
      </c>
      <c r="BI185" s="3">
        <v>8.5701819141604657E-3</v>
      </c>
      <c r="BJ185" s="3">
        <v>1.2917692438296102E-2</v>
      </c>
    </row>
    <row r="186" spans="1:62" x14ac:dyDescent="0.2">
      <c r="A186" s="3" t="s">
        <v>194</v>
      </c>
      <c r="B186" s="3">
        <v>66.95</v>
      </c>
      <c r="C186" s="3">
        <v>78.400000000000006</v>
      </c>
      <c r="D186" s="3">
        <v>14.9</v>
      </c>
      <c r="E186" s="3">
        <v>56.05</v>
      </c>
      <c r="F186" s="3">
        <v>51.55</v>
      </c>
      <c r="G186" s="3">
        <v>160.80000000000001</v>
      </c>
      <c r="H186" s="3">
        <v>36.1</v>
      </c>
      <c r="I186" s="3">
        <v>108</v>
      </c>
      <c r="J186" s="3">
        <v>9.65</v>
      </c>
      <c r="K186" s="3">
        <v>75.650000000000006</v>
      </c>
      <c r="L186" s="3">
        <v>25626.550781000002</v>
      </c>
      <c r="N186" s="5">
        <v>-5.2414945908383359E-3</v>
      </c>
      <c r="O186" s="5">
        <v>5.7233860526846314E-3</v>
      </c>
      <c r="P186" s="5">
        <v>6.6889881507967708E-3</v>
      </c>
      <c r="Q186" s="5">
        <v>-1.7857147602340362E-3</v>
      </c>
      <c r="R186" s="5">
        <v>-6.8126784175066568E-3</v>
      </c>
      <c r="S186" s="5">
        <v>-6.2208400139951436E-4</v>
      </c>
      <c r="T186" s="5">
        <v>-1.3947227480850088E-2</v>
      </c>
      <c r="U186" s="5">
        <v>-9.2635486013126211E-4</v>
      </c>
      <c r="V186" s="5">
        <v>-2.0746895408603194E-3</v>
      </c>
      <c r="W186" s="5">
        <v>0</v>
      </c>
      <c r="X186" s="5">
        <v>-3.8589561692390362E-3</v>
      </c>
      <c r="AZ186" s="3" t="s">
        <v>192</v>
      </c>
      <c r="BA186" s="3">
        <v>181</v>
      </c>
      <c r="BB186" s="3">
        <v>0.95109931605714315</v>
      </c>
      <c r="BC186" s="3">
        <v>0.9515340824257208</v>
      </c>
      <c r="BD186" s="3">
        <v>0.88291559787687068</v>
      </c>
      <c r="BE186" s="3">
        <v>0.47715724624717559</v>
      </c>
      <c r="BG186" s="3">
        <v>-1.4821341708418444E-2</v>
      </c>
      <c r="BH186" s="3">
        <v>-1.4957444562737364E-2</v>
      </c>
      <c r="BI186" s="3">
        <v>-2.1378849776721234E-2</v>
      </c>
      <c r="BJ186" s="3">
        <v>-2.9248685732469082E-2</v>
      </c>
    </row>
    <row r="187" spans="1:62" x14ac:dyDescent="0.2">
      <c r="A187" s="3" t="s">
        <v>195</v>
      </c>
      <c r="B187" s="3">
        <v>66.599999999999994</v>
      </c>
      <c r="C187" s="3">
        <v>78.849999999999994</v>
      </c>
      <c r="D187" s="3">
        <v>15</v>
      </c>
      <c r="E187" s="3">
        <v>55.95</v>
      </c>
      <c r="F187" s="3">
        <v>51.2</v>
      </c>
      <c r="G187" s="3">
        <v>160.69999999999999</v>
      </c>
      <c r="H187" s="3">
        <v>35.6</v>
      </c>
      <c r="I187" s="3">
        <v>107.9</v>
      </c>
      <c r="J187" s="3">
        <v>9.6300000000000008</v>
      </c>
      <c r="K187" s="3">
        <v>75.650000000000006</v>
      </c>
      <c r="L187" s="3">
        <v>25527.849609000001</v>
      </c>
      <c r="N187" s="5">
        <v>3.3951600473269394E-2</v>
      </c>
      <c r="O187" s="5">
        <v>3.7340990408096353E-2</v>
      </c>
      <c r="P187" s="5">
        <v>3.4079313652862542E-2</v>
      </c>
      <c r="Q187" s="5">
        <v>3.4258949821015072E-2</v>
      </c>
      <c r="R187" s="5">
        <v>2.6025565277497886E-2</v>
      </c>
      <c r="S187" s="5">
        <v>6.6209495159963438E-2</v>
      </c>
      <c r="T187" s="5">
        <v>8.3493962177751069E-2</v>
      </c>
      <c r="U187" s="5">
        <v>9.3708088311097448E-2</v>
      </c>
      <c r="V187" s="5">
        <v>9.5970775307987033E-2</v>
      </c>
      <c r="W187" s="5">
        <v>2.8666458045641718E-2</v>
      </c>
      <c r="X187" s="5">
        <v>3.825097271457345E-2</v>
      </c>
      <c r="AZ187" s="3" t="s">
        <v>193</v>
      </c>
      <c r="BA187" s="3">
        <v>182</v>
      </c>
      <c r="BB187" s="3">
        <v>0.93710669892329479</v>
      </c>
      <c r="BC187" s="3">
        <v>0.93740747647308276</v>
      </c>
      <c r="BD187" s="3">
        <v>0.86424021831267128</v>
      </c>
      <c r="BE187" s="3">
        <v>0.4634031490618219</v>
      </c>
      <c r="BG187" s="3">
        <v>-1.6766249190619573E-2</v>
      </c>
      <c r="BH187" s="3">
        <v>-1.6437673643931311E-2</v>
      </c>
      <c r="BI187" s="3">
        <v>-1.9159143335776951E-2</v>
      </c>
      <c r="BJ187" s="3">
        <v>-2.1448646001396732E-2</v>
      </c>
    </row>
    <row r="188" spans="1:62" x14ac:dyDescent="0.2">
      <c r="A188" s="3" t="s">
        <v>196</v>
      </c>
      <c r="B188" s="3">
        <v>68.900000000000006</v>
      </c>
      <c r="C188" s="3">
        <v>81.849999999999994</v>
      </c>
      <c r="D188" s="3">
        <v>15.52</v>
      </c>
      <c r="E188" s="3">
        <v>57.9</v>
      </c>
      <c r="F188" s="3">
        <v>52.55</v>
      </c>
      <c r="G188" s="3">
        <v>171.7</v>
      </c>
      <c r="H188" s="3">
        <v>38.700000000000003</v>
      </c>
      <c r="I188" s="3">
        <v>118.5</v>
      </c>
      <c r="J188" s="3">
        <v>10.6</v>
      </c>
      <c r="K188" s="3">
        <v>77.849999999999994</v>
      </c>
      <c r="L188" s="3">
        <v>26523.230468999998</v>
      </c>
      <c r="N188" s="5">
        <v>1.4503265776468766E-3</v>
      </c>
      <c r="O188" s="5">
        <v>-1.6010194194159943E-2</v>
      </c>
      <c r="P188" s="5">
        <v>-1.0362787035546717E-2</v>
      </c>
      <c r="Q188" s="5">
        <v>-6.9324367756449234E-3</v>
      </c>
      <c r="R188" s="5">
        <v>-4.7687262520828E-3</v>
      </c>
      <c r="S188" s="5">
        <v>-2.1784788500171182E-2</v>
      </c>
      <c r="T188" s="5">
        <v>-3.1498667059370877E-2</v>
      </c>
      <c r="U188" s="5">
        <v>-2.9111644847349183E-2</v>
      </c>
      <c r="V188" s="5">
        <v>-2.8710105882431503E-2</v>
      </c>
      <c r="W188" s="5">
        <v>-2.2735633412366951E-2</v>
      </c>
      <c r="X188" s="5">
        <v>-2.9039789346896328E-4</v>
      </c>
      <c r="AZ188" s="3" t="s">
        <v>194</v>
      </c>
      <c r="BA188" s="3">
        <v>183</v>
      </c>
      <c r="BB188" s="3">
        <v>0.9215259151301628</v>
      </c>
      <c r="BC188" s="3">
        <v>0.92212462964126651</v>
      </c>
      <c r="BD188" s="3">
        <v>0.84783972744916081</v>
      </c>
      <c r="BE188" s="3">
        <v>0.4535696139540818</v>
      </c>
      <c r="BG188" s="3">
        <v>-1.8706360751731266E-3</v>
      </c>
      <c r="BH188" s="3">
        <v>-1.6246631655298105E-3</v>
      </c>
      <c r="BI188" s="3">
        <v>-4.9542659275009227E-4</v>
      </c>
      <c r="BJ188" s="3">
        <v>7.4917151322029252E-4</v>
      </c>
    </row>
    <row r="189" spans="1:62" x14ac:dyDescent="0.2">
      <c r="A189" s="3" t="s">
        <v>197</v>
      </c>
      <c r="B189" s="3">
        <v>69</v>
      </c>
      <c r="C189" s="3">
        <v>80.55</v>
      </c>
      <c r="D189" s="3">
        <v>15.36</v>
      </c>
      <c r="E189" s="3">
        <v>57.5</v>
      </c>
      <c r="F189" s="3">
        <v>52.3</v>
      </c>
      <c r="G189" s="3">
        <v>168</v>
      </c>
      <c r="H189" s="3">
        <v>37.5</v>
      </c>
      <c r="I189" s="3">
        <v>115.1</v>
      </c>
      <c r="J189" s="3">
        <v>10.3</v>
      </c>
      <c r="K189" s="3">
        <v>76.099999999999994</v>
      </c>
      <c r="L189" s="3">
        <v>26515.529297000001</v>
      </c>
      <c r="N189" s="5">
        <v>2.0796733747429741E-2</v>
      </c>
      <c r="O189" s="5">
        <v>5.5710450494554919E-3</v>
      </c>
      <c r="P189" s="5">
        <v>6.4893154397500652E-3</v>
      </c>
      <c r="Q189" s="5">
        <v>6.9324367756449234E-3</v>
      </c>
      <c r="R189" s="5">
        <v>0</v>
      </c>
      <c r="S189" s="5">
        <v>3.5650661644961446E-3</v>
      </c>
      <c r="T189" s="5">
        <v>7.9681696491769038E-3</v>
      </c>
      <c r="U189" s="5">
        <v>0</v>
      </c>
      <c r="V189" s="5">
        <v>-5.8422756242282325E-3</v>
      </c>
      <c r="W189" s="5">
        <v>1.1107595417247929E-2</v>
      </c>
      <c r="X189" s="5">
        <v>6.5868567660398725E-3</v>
      </c>
      <c r="AZ189" s="3" t="s">
        <v>195</v>
      </c>
      <c r="BA189" s="3">
        <v>184</v>
      </c>
      <c r="BB189" s="3">
        <v>0.91980368684250879</v>
      </c>
      <c r="BC189" s="3">
        <v>0.92062770405065986</v>
      </c>
      <c r="BD189" s="3">
        <v>0.84741978913468607</v>
      </c>
      <c r="BE189" s="3">
        <v>0.45390954270468775</v>
      </c>
      <c r="BG189" s="3">
        <v>5.4191663331897719E-2</v>
      </c>
      <c r="BH189" s="3">
        <v>4.8844447251791594E-2</v>
      </c>
      <c r="BI189" s="3">
        <v>3.6988117196002701E-2</v>
      </c>
      <c r="BJ189" s="3">
        <v>1.1168855915733689E-2</v>
      </c>
    </row>
    <row r="190" spans="1:62" x14ac:dyDescent="0.2">
      <c r="A190" s="3" t="s">
        <v>198</v>
      </c>
      <c r="B190" s="3">
        <v>70.45</v>
      </c>
      <c r="C190" s="3">
        <v>81</v>
      </c>
      <c r="D190" s="3">
        <v>15.46</v>
      </c>
      <c r="E190" s="3">
        <v>57.9</v>
      </c>
      <c r="F190" s="3">
        <v>52.3</v>
      </c>
      <c r="G190" s="3">
        <v>168.6</v>
      </c>
      <c r="H190" s="3">
        <v>37.799999999999997</v>
      </c>
      <c r="I190" s="3">
        <v>115.1</v>
      </c>
      <c r="J190" s="3">
        <v>10.24</v>
      </c>
      <c r="K190" s="3">
        <v>76.95</v>
      </c>
      <c r="L190" s="3">
        <v>26690.759765999999</v>
      </c>
      <c r="N190" s="5">
        <v>1.0589580073240512E-2</v>
      </c>
      <c r="O190" s="5">
        <v>1.8501392881615786E-3</v>
      </c>
      <c r="P190" s="5">
        <v>7.7319972833262973E-3</v>
      </c>
      <c r="Q190" s="5">
        <v>5.1679701584426141E-3</v>
      </c>
      <c r="R190" s="5">
        <v>6.6698675091072523E-3</v>
      </c>
      <c r="S190" s="5">
        <v>8.2693914825071602E-3</v>
      </c>
      <c r="T190" s="5">
        <v>-6.6357244153985029E-3</v>
      </c>
      <c r="U190" s="5">
        <v>-7.8500185059269256E-3</v>
      </c>
      <c r="V190" s="5">
        <v>-1.1787955752042389E-2</v>
      </c>
      <c r="W190" s="5">
        <v>-5.8651194523982042E-3</v>
      </c>
      <c r="X190" s="5">
        <v>-3.5072124000201654E-4</v>
      </c>
      <c r="AZ190" s="3" t="s">
        <v>196</v>
      </c>
      <c r="BA190" s="3">
        <v>185</v>
      </c>
      <c r="BB190" s="3">
        <v>0.97102472046694499</v>
      </c>
      <c r="BC190" s="3">
        <v>0.96671156391237867</v>
      </c>
      <c r="BD190" s="3">
        <v>0.87935115168574329</v>
      </c>
      <c r="BE190" s="3">
        <v>0.45900760977851407</v>
      </c>
      <c r="BG190" s="3">
        <v>-1.7480480581649097E-2</v>
      </c>
      <c r="BH190" s="3">
        <v>-1.5329323175088637E-2</v>
      </c>
      <c r="BI190" s="3">
        <v>-1.0264442024716158E-2</v>
      </c>
      <c r="BJ190" s="3">
        <v>8.2601972980100857E-4</v>
      </c>
    </row>
    <row r="191" spans="1:62" x14ac:dyDescent="0.2">
      <c r="A191" s="3" t="s">
        <v>199</v>
      </c>
      <c r="B191" s="3">
        <v>71.2</v>
      </c>
      <c r="C191" s="3">
        <v>81.150000000000006</v>
      </c>
      <c r="D191" s="3">
        <v>15.58</v>
      </c>
      <c r="E191" s="3">
        <v>58.2</v>
      </c>
      <c r="F191" s="3">
        <v>52.65</v>
      </c>
      <c r="G191" s="3">
        <v>170</v>
      </c>
      <c r="H191" s="3">
        <v>37.549999999999997</v>
      </c>
      <c r="I191" s="3">
        <v>114.2</v>
      </c>
      <c r="J191" s="3">
        <v>10.119999999999999</v>
      </c>
      <c r="K191" s="3">
        <v>76.5</v>
      </c>
      <c r="L191" s="3">
        <v>26681.400390999999</v>
      </c>
      <c r="N191" s="5">
        <v>6.3003358562507827E-3</v>
      </c>
      <c r="O191" s="5">
        <v>-1.1775779088131877E-2</v>
      </c>
      <c r="P191" s="5">
        <v>-6.4391722810213103E-3</v>
      </c>
      <c r="Q191" s="5">
        <v>1.1955735920148314E-2</v>
      </c>
      <c r="R191" s="5">
        <v>9.4921696733196725E-4</v>
      </c>
      <c r="S191" s="5">
        <v>7.0340266573793997E-3</v>
      </c>
      <c r="T191" s="5">
        <v>-9.3646169310424021E-3</v>
      </c>
      <c r="U191" s="5">
        <v>-8.7604035388011425E-4</v>
      </c>
      <c r="V191" s="5">
        <v>5.9113472630571984E-3</v>
      </c>
      <c r="W191" s="5">
        <v>0</v>
      </c>
      <c r="X191" s="5">
        <v>8.5422789510403163E-5</v>
      </c>
      <c r="AZ191" s="3" t="s">
        <v>197</v>
      </c>
      <c r="BA191" s="3">
        <v>186</v>
      </c>
      <c r="BB191" s="3">
        <v>0.95419823766570966</v>
      </c>
      <c r="BC191" s="3">
        <v>0.95200553464710713</v>
      </c>
      <c r="BD191" s="3">
        <v>0.87037126835811696</v>
      </c>
      <c r="BE191" s="3">
        <v>0.45938691575586343</v>
      </c>
      <c r="BG191" s="3">
        <v>5.3877107818957395E-3</v>
      </c>
      <c r="BH191" s="3">
        <v>5.623530824380607E-3</v>
      </c>
      <c r="BI191" s="3">
        <v>3.8494396679171761E-3</v>
      </c>
      <c r="BJ191" s="3">
        <v>2.358509521127039E-3</v>
      </c>
    </row>
    <row r="192" spans="1:62" x14ac:dyDescent="0.2">
      <c r="A192" s="3" t="s">
        <v>200</v>
      </c>
      <c r="B192" s="3">
        <v>71.650000000000006</v>
      </c>
      <c r="C192" s="3">
        <v>80.2</v>
      </c>
      <c r="D192" s="3">
        <v>15.48</v>
      </c>
      <c r="E192" s="3">
        <v>58.9</v>
      </c>
      <c r="F192" s="3">
        <v>52.7</v>
      </c>
      <c r="G192" s="3">
        <v>171.2</v>
      </c>
      <c r="H192" s="3">
        <v>37.200000000000003</v>
      </c>
      <c r="I192" s="3">
        <v>114.1</v>
      </c>
      <c r="J192" s="3">
        <v>10.18</v>
      </c>
      <c r="K192" s="3">
        <v>76.5</v>
      </c>
      <c r="L192" s="3">
        <v>26683.679688</v>
      </c>
      <c r="N192" s="5">
        <v>2.0718973191952372E-2</v>
      </c>
      <c r="O192" s="5">
        <v>6.8344472302968029E-3</v>
      </c>
      <c r="P192" s="5">
        <v>5.154650588664822E-3</v>
      </c>
      <c r="Q192" s="5">
        <v>3.0925991563116817E-2</v>
      </c>
      <c r="R192" s="5">
        <v>4.7326165000991516E-3</v>
      </c>
      <c r="S192" s="5">
        <v>4.455334213311346E-2</v>
      </c>
      <c r="T192" s="5">
        <v>4.2111485350126543E-2</v>
      </c>
      <c r="U192" s="5">
        <v>3.1913014349456148E-2</v>
      </c>
      <c r="V192" s="5">
        <v>2.7133447514400277E-2</v>
      </c>
      <c r="W192" s="5">
        <v>1.9418085857101808E-2</v>
      </c>
      <c r="X192" s="5">
        <v>1.7658581634242054E-2</v>
      </c>
      <c r="AZ192" s="3" t="s">
        <v>198</v>
      </c>
      <c r="BA192" s="3">
        <v>187</v>
      </c>
      <c r="BB192" s="3">
        <v>0.95935305566384799</v>
      </c>
      <c r="BC192" s="3">
        <v>0.95737424853179753</v>
      </c>
      <c r="BD192" s="3">
        <v>0.87372816698846323</v>
      </c>
      <c r="BE192" s="3">
        <v>0.46047166286091096</v>
      </c>
      <c r="BG192" s="3">
        <v>6.8682593966816474E-4</v>
      </c>
      <c r="BH192" s="3">
        <v>2.1067882061358706E-3</v>
      </c>
      <c r="BI192" s="3">
        <v>5.180490151258349E-3</v>
      </c>
      <c r="BJ192" s="3">
        <v>1.1504157499350742E-2</v>
      </c>
    </row>
    <row r="193" spans="1:62" x14ac:dyDescent="0.2">
      <c r="A193" s="3" t="s">
        <v>201</v>
      </c>
      <c r="B193" s="3">
        <v>73.150000000000006</v>
      </c>
      <c r="C193" s="3">
        <v>80.75</v>
      </c>
      <c r="D193" s="3">
        <v>15.56</v>
      </c>
      <c r="E193" s="3">
        <v>60.75</v>
      </c>
      <c r="F193" s="3">
        <v>52.95</v>
      </c>
      <c r="G193" s="3">
        <v>179</v>
      </c>
      <c r="H193" s="3">
        <v>38.799999999999997</v>
      </c>
      <c r="I193" s="3">
        <v>117.8</v>
      </c>
      <c r="J193" s="3">
        <v>10.46</v>
      </c>
      <c r="K193" s="3">
        <v>78</v>
      </c>
      <c r="L193" s="3">
        <v>27159.060547000001</v>
      </c>
      <c r="N193" s="5">
        <v>-7.5472056353831363E-3</v>
      </c>
      <c r="O193" s="5">
        <v>1.8558619616806382E-3</v>
      </c>
      <c r="P193" s="5">
        <v>3.8486256612939584E-3</v>
      </c>
      <c r="Q193" s="5">
        <v>-8.2645098498934644E-3</v>
      </c>
      <c r="R193" s="5">
        <v>3.7700327405412182E-3</v>
      </c>
      <c r="S193" s="5">
        <v>-8.9787359652762078E-3</v>
      </c>
      <c r="T193" s="5">
        <v>-1.5584731016698328E-2</v>
      </c>
      <c r="U193" s="5">
        <v>-7.6694027394630382E-3</v>
      </c>
      <c r="V193" s="5">
        <v>-1.9138761822841133E-3</v>
      </c>
      <c r="W193" s="5">
        <v>5.7526524894502273E-3</v>
      </c>
      <c r="X193" s="5">
        <v>-2.6335146874920667E-3</v>
      </c>
      <c r="AZ193" s="3" t="s">
        <v>199</v>
      </c>
      <c r="BA193" s="3">
        <v>188</v>
      </c>
      <c r="BB193" s="3">
        <v>0.960012190557338</v>
      </c>
      <c r="BC193" s="3">
        <v>0.95939335948020088</v>
      </c>
      <c r="BD193" s="3">
        <v>0.87826625175491835</v>
      </c>
      <c r="BE193" s="3">
        <v>0.46579958928629911</v>
      </c>
      <c r="BG193" s="3">
        <v>8.2941327336306936E-5</v>
      </c>
      <c r="BH193" s="3">
        <v>6.1865542439754062E-5</v>
      </c>
      <c r="BI193" s="3">
        <v>-4.5953918974701857E-3</v>
      </c>
      <c r="BJ193" s="3">
        <v>-9.5961255650909294E-3</v>
      </c>
    </row>
    <row r="194" spans="1:62" x14ac:dyDescent="0.2">
      <c r="A194" s="3" t="s">
        <v>202</v>
      </c>
      <c r="B194" s="3">
        <v>72.599999999999994</v>
      </c>
      <c r="C194" s="3">
        <v>80.900000000000006</v>
      </c>
      <c r="D194" s="3">
        <v>15.62</v>
      </c>
      <c r="E194" s="3">
        <v>60.25</v>
      </c>
      <c r="F194" s="3">
        <v>53.15</v>
      </c>
      <c r="G194" s="3">
        <v>177.4</v>
      </c>
      <c r="H194" s="3">
        <v>38.200000000000003</v>
      </c>
      <c r="I194" s="3">
        <v>116.9</v>
      </c>
      <c r="J194" s="3">
        <v>10.44</v>
      </c>
      <c r="K194" s="3">
        <v>78.45</v>
      </c>
      <c r="L194" s="3">
        <v>27087.630859000001</v>
      </c>
      <c r="N194" s="5">
        <v>2.0639842208520776E-3</v>
      </c>
      <c r="O194" s="5">
        <v>1.045198571291639E-2</v>
      </c>
      <c r="P194" s="5">
        <v>2.1533447610122991E-2</v>
      </c>
      <c r="Q194" s="5">
        <v>7.4411256946884663E-3</v>
      </c>
      <c r="R194" s="5">
        <v>4.6926411781922361E-3</v>
      </c>
      <c r="S194" s="5">
        <v>8.9787359652762078E-3</v>
      </c>
      <c r="T194" s="5">
        <v>1.0416760858255714E-2</v>
      </c>
      <c r="U194" s="5">
        <v>2.5630086648895656E-3</v>
      </c>
      <c r="V194" s="5">
        <v>0</v>
      </c>
      <c r="W194" s="5">
        <v>6.3714560932126574E-4</v>
      </c>
      <c r="X194" s="5">
        <v>9.7376608707406831E-3</v>
      </c>
      <c r="AZ194" s="3" t="s">
        <v>200</v>
      </c>
      <c r="BA194" s="3">
        <v>189</v>
      </c>
      <c r="BB194" s="3">
        <v>0.9600918185448617</v>
      </c>
      <c r="BC194" s="3">
        <v>0.95945271470680094</v>
      </c>
      <c r="BD194" s="3">
        <v>0.87423953339846205</v>
      </c>
      <c r="BE194" s="3">
        <v>0.46135109622513842</v>
      </c>
      <c r="BG194" s="3">
        <v>2.3345308813213443E-2</v>
      </c>
      <c r="BH194" s="3">
        <v>2.1167240085977715E-2</v>
      </c>
      <c r="BI194" s="3">
        <v>7.1923004672458657E-3</v>
      </c>
      <c r="BJ194" s="3">
        <v>-1.5009310832538203E-2</v>
      </c>
    </row>
    <row r="195" spans="1:62" x14ac:dyDescent="0.2">
      <c r="A195" s="3" t="s">
        <v>203</v>
      </c>
      <c r="B195" s="3">
        <v>72.75</v>
      </c>
      <c r="C195" s="3">
        <v>81.75</v>
      </c>
      <c r="D195" s="3">
        <v>15.96</v>
      </c>
      <c r="E195" s="3">
        <v>60.7</v>
      </c>
      <c r="F195" s="3">
        <v>53.4</v>
      </c>
      <c r="G195" s="3">
        <v>179</v>
      </c>
      <c r="H195" s="3">
        <v>38.6</v>
      </c>
      <c r="I195" s="3">
        <v>117.2</v>
      </c>
      <c r="J195" s="3">
        <v>10.44</v>
      </c>
      <c r="K195" s="3">
        <v>78.5</v>
      </c>
      <c r="L195" s="3">
        <v>27352.689452999999</v>
      </c>
      <c r="N195" s="5">
        <v>-1.7331456351640462E-2</v>
      </c>
      <c r="O195" s="5">
        <v>-7.9828486559954115E-3</v>
      </c>
      <c r="P195" s="5">
        <v>-1.6424879667400472E-2</v>
      </c>
      <c r="Q195" s="5">
        <v>-1.6488049901832724E-3</v>
      </c>
      <c r="R195" s="5">
        <v>9.3589150490513973E-4</v>
      </c>
      <c r="S195" s="5">
        <v>-8.9787359652762078E-3</v>
      </c>
      <c r="T195" s="5">
        <v>-6.4977486575199528E-3</v>
      </c>
      <c r="U195" s="5">
        <v>-1.4611347181064716E-2</v>
      </c>
      <c r="V195" s="5">
        <v>-2.3256862164267478E-2</v>
      </c>
      <c r="W195" s="5">
        <v>-1.3466057925485941E-2</v>
      </c>
      <c r="X195" s="5">
        <v>-8.375608040882554E-3</v>
      </c>
      <c r="AZ195" s="3" t="s">
        <v>201</v>
      </c>
      <c r="BA195" s="3">
        <v>190</v>
      </c>
      <c r="BB195" s="3">
        <v>0.982769133067942</v>
      </c>
      <c r="BC195" s="3">
        <v>0.97997814768789016</v>
      </c>
      <c r="BD195" s="3">
        <v>0.88054999296074987</v>
      </c>
      <c r="BE195" s="3">
        <v>0.45447824164984524</v>
      </c>
      <c r="BG195" s="3">
        <v>-3.5217961522981157E-3</v>
      </c>
      <c r="BH195" s="3">
        <v>-2.8443310387187733E-3</v>
      </c>
      <c r="BI195" s="3">
        <v>2.061602974439386E-3</v>
      </c>
      <c r="BJ195" s="3">
        <v>9.9239627986066337E-3</v>
      </c>
    </row>
    <row r="196" spans="1:62" x14ac:dyDescent="0.2">
      <c r="A196" s="3" t="s">
        <v>204</v>
      </c>
      <c r="B196" s="3">
        <v>71.5</v>
      </c>
      <c r="C196" s="3">
        <v>81.099999999999994</v>
      </c>
      <c r="D196" s="3">
        <v>15.7</v>
      </c>
      <c r="E196" s="3">
        <v>60.6</v>
      </c>
      <c r="F196" s="3">
        <v>53.45</v>
      </c>
      <c r="G196" s="3">
        <v>177.4</v>
      </c>
      <c r="H196" s="3">
        <v>38.35</v>
      </c>
      <c r="I196" s="3">
        <v>115.5</v>
      </c>
      <c r="J196" s="3">
        <v>10.199999999999999</v>
      </c>
      <c r="K196" s="3">
        <v>77.45</v>
      </c>
      <c r="L196" s="3">
        <v>27124.550781000002</v>
      </c>
      <c r="N196" s="5">
        <v>-7.0175726586461096E-3</v>
      </c>
      <c r="O196" s="5">
        <v>-3.0873750982518544E-3</v>
      </c>
      <c r="P196" s="5">
        <v>-6.389798098771049E-3</v>
      </c>
      <c r="Q196" s="5">
        <v>-1.4125702263648954E-2</v>
      </c>
      <c r="R196" s="5">
        <v>-1.0343298606800833E-2</v>
      </c>
      <c r="S196" s="5">
        <v>-9.0600846244024424E-3</v>
      </c>
      <c r="T196" s="5">
        <v>-7.8534435055703788E-3</v>
      </c>
      <c r="U196" s="5">
        <v>-9.5694510161505875E-3</v>
      </c>
      <c r="V196" s="5">
        <v>-1.9627091678486863E-3</v>
      </c>
      <c r="W196" s="5">
        <v>-7.7770968782724381E-3</v>
      </c>
      <c r="X196" s="5">
        <v>-1.2401599836820765E-2</v>
      </c>
      <c r="AZ196" s="3" t="s">
        <v>202</v>
      </c>
      <c r="BA196" s="3">
        <v>191</v>
      </c>
      <c r="BB196" s="3">
        <v>0.9793141080345098</v>
      </c>
      <c r="BC196" s="3">
        <v>0.97719472578834754</v>
      </c>
      <c r="BD196" s="3">
        <v>0.88236720999176954</v>
      </c>
      <c r="BE196" s="3">
        <v>0.45901092068177218</v>
      </c>
      <c r="BG196" s="3">
        <v>7.1130337963795174E-3</v>
      </c>
      <c r="BH196" s="3">
        <v>7.7135492188547504E-3</v>
      </c>
      <c r="BI196" s="3">
        <v>1.0232957705639686E-2</v>
      </c>
      <c r="BJ196" s="3">
        <v>1.3430711273094142E-2</v>
      </c>
    </row>
    <row r="197" spans="1:62" x14ac:dyDescent="0.2">
      <c r="A197" s="3" t="s">
        <v>205</v>
      </c>
      <c r="B197" s="3">
        <v>71</v>
      </c>
      <c r="C197" s="3">
        <v>80.849999999999994</v>
      </c>
      <c r="D197" s="3">
        <v>15.6</v>
      </c>
      <c r="E197" s="3">
        <v>59.75</v>
      </c>
      <c r="F197" s="3">
        <v>52.9</v>
      </c>
      <c r="G197" s="3">
        <v>175.8</v>
      </c>
      <c r="H197" s="3">
        <v>38.049999999999997</v>
      </c>
      <c r="I197" s="3">
        <v>114.4</v>
      </c>
      <c r="J197" s="3">
        <v>10.18</v>
      </c>
      <c r="K197" s="3">
        <v>76.849999999999994</v>
      </c>
      <c r="L197" s="3">
        <v>26790.240234000001</v>
      </c>
      <c r="N197" s="5">
        <v>-5.6497325421194233E-3</v>
      </c>
      <c r="O197" s="5">
        <v>-1.8570107472122288E-3</v>
      </c>
      <c r="P197" s="5">
        <v>3.83877630716567E-3</v>
      </c>
      <c r="Q197" s="5">
        <v>1.6722411923622005E-3</v>
      </c>
      <c r="R197" s="5">
        <v>0</v>
      </c>
      <c r="S197" s="5">
        <v>2.8401041527486015E-3</v>
      </c>
      <c r="T197" s="5">
        <v>-1.3149245813091071E-3</v>
      </c>
      <c r="U197" s="5">
        <v>-8.7450814493195139E-4</v>
      </c>
      <c r="V197" s="5">
        <v>-7.8895872751627572E-3</v>
      </c>
      <c r="W197" s="5">
        <v>-1.6399186799117338E-2</v>
      </c>
      <c r="X197" s="5">
        <v>-1.3492027508039683E-3</v>
      </c>
      <c r="AZ197" s="3" t="s">
        <v>203</v>
      </c>
      <c r="BA197" s="3">
        <v>192</v>
      </c>
      <c r="BB197" s="3">
        <v>0.98630483554798731</v>
      </c>
      <c r="BC197" s="3">
        <v>0.98476151127036626</v>
      </c>
      <c r="BD197" s="3">
        <v>0.89144279216224254</v>
      </c>
      <c r="BE197" s="3">
        <v>0.46521734890665767</v>
      </c>
      <c r="BG197" s="3">
        <v>-1.0948116173470792E-2</v>
      </c>
      <c r="BH197" s="3">
        <v>-9.7927147719835302E-3</v>
      </c>
      <c r="BI197" s="3">
        <v>-8.025527782646702E-3</v>
      </c>
      <c r="BJ197" s="3">
        <v>-3.6144548577550228E-3</v>
      </c>
    </row>
    <row r="198" spans="1:62" x14ac:dyDescent="0.2">
      <c r="A198" s="3" t="s">
        <v>206</v>
      </c>
      <c r="B198" s="3">
        <v>70.599999999999994</v>
      </c>
      <c r="C198" s="3">
        <v>80.7</v>
      </c>
      <c r="D198" s="3">
        <v>15.66</v>
      </c>
      <c r="E198" s="3">
        <v>59.85</v>
      </c>
      <c r="F198" s="3">
        <v>52.9</v>
      </c>
      <c r="G198" s="3">
        <v>176.3</v>
      </c>
      <c r="H198" s="3">
        <v>38</v>
      </c>
      <c r="I198" s="3">
        <v>114.3</v>
      </c>
      <c r="J198" s="3">
        <v>10.1</v>
      </c>
      <c r="K198" s="3">
        <v>75.599999999999994</v>
      </c>
      <c r="L198" s="3">
        <v>26754.119140999999</v>
      </c>
      <c r="N198" s="5">
        <v>-1.6423075298843237E-2</v>
      </c>
      <c r="O198" s="5">
        <v>-1.058870061488193E-2</v>
      </c>
      <c r="P198" s="5">
        <v>-7.692345623155461E-3</v>
      </c>
      <c r="Q198" s="5">
        <v>-2.5094116054260596E-3</v>
      </c>
      <c r="R198" s="5">
        <v>-1.8921481520375316E-3</v>
      </c>
      <c r="S198" s="5">
        <v>-2.4692612590372143E-2</v>
      </c>
      <c r="T198" s="5">
        <v>0</v>
      </c>
      <c r="U198" s="5">
        <v>-5.2631700442749008E-3</v>
      </c>
      <c r="V198" s="5">
        <v>-1.9821612039914172E-3</v>
      </c>
      <c r="W198" s="5">
        <v>-1.4657157799973675E-2</v>
      </c>
      <c r="X198" s="5">
        <v>-1.0716129668946195E-2</v>
      </c>
      <c r="AZ198" s="3" t="s">
        <v>204</v>
      </c>
      <c r="BA198" s="3">
        <v>193</v>
      </c>
      <c r="BB198" s="3">
        <v>0.97556555036531445</v>
      </c>
      <c r="BC198" s="3">
        <v>0.97516508688460168</v>
      </c>
      <c r="BD198" s="3">
        <v>0.88431712513290128</v>
      </c>
      <c r="BE198" s="3">
        <v>0.46353887700778007</v>
      </c>
      <c r="BG198" s="3">
        <v>-7.7006549297982396E-3</v>
      </c>
      <c r="BH198" s="3">
        <v>-8.0051561348601051E-3</v>
      </c>
      <c r="BI198" s="3">
        <v>-6.7177167551778633E-3</v>
      </c>
      <c r="BJ198" s="3">
        <v>-5.7929877460179968E-3</v>
      </c>
    </row>
    <row r="199" spans="1:62" x14ac:dyDescent="0.2">
      <c r="A199" s="3" t="s">
        <v>207</v>
      </c>
      <c r="B199" s="3">
        <v>69.45</v>
      </c>
      <c r="C199" s="3">
        <v>79.849999999999994</v>
      </c>
      <c r="D199" s="3">
        <v>15.54</v>
      </c>
      <c r="E199" s="3">
        <v>59.7</v>
      </c>
      <c r="F199" s="3">
        <v>52.8</v>
      </c>
      <c r="G199" s="3">
        <v>172</v>
      </c>
      <c r="H199" s="3">
        <v>38</v>
      </c>
      <c r="I199" s="3">
        <v>113.7</v>
      </c>
      <c r="J199" s="3">
        <v>10.08</v>
      </c>
      <c r="K199" s="3">
        <v>74.5</v>
      </c>
      <c r="L199" s="3">
        <v>26468.949218999998</v>
      </c>
      <c r="N199" s="5">
        <v>5.0269405679737034E-3</v>
      </c>
      <c r="O199" s="5">
        <v>2.5349116198002619E-2</v>
      </c>
      <c r="P199" s="5">
        <v>5.1347994720383205E-3</v>
      </c>
      <c r="Q199" s="5">
        <v>5.0125418235440478E-3</v>
      </c>
      <c r="R199" s="5">
        <v>2.8368813351997701E-3</v>
      </c>
      <c r="S199" s="5">
        <v>-5.8156442464873948E-4</v>
      </c>
      <c r="T199" s="5">
        <v>3.9395980040803913E-3</v>
      </c>
      <c r="U199" s="5">
        <v>7.0114222378041546E-3</v>
      </c>
      <c r="V199" s="5">
        <v>0</v>
      </c>
      <c r="W199" s="5">
        <v>-4.7090568015724088E-3</v>
      </c>
      <c r="X199" s="5">
        <v>-1.2580867958149611E-3</v>
      </c>
      <c r="AZ199" s="3" t="s">
        <v>205</v>
      </c>
      <c r="BA199" s="3">
        <v>194</v>
      </c>
      <c r="BB199" s="3">
        <v>0.96808190815537343</v>
      </c>
      <c r="BC199" s="3">
        <v>0.96738990041873174</v>
      </c>
      <c r="BD199" s="3">
        <v>0.87839644216565027</v>
      </c>
      <c r="BE199" s="3">
        <v>0.46086136485882173</v>
      </c>
      <c r="BG199" s="3">
        <v>-2.3272627277707084E-3</v>
      </c>
      <c r="BH199" s="3">
        <v>-1.7081753421346602E-3</v>
      </c>
      <c r="BI199" s="3">
        <v>2.2666352761385733E-4</v>
      </c>
      <c r="BJ199" s="3">
        <v>3.011482240987795E-3</v>
      </c>
    </row>
    <row r="200" spans="1:62" x14ac:dyDescent="0.2">
      <c r="A200" s="3" t="s">
        <v>208</v>
      </c>
      <c r="B200" s="3">
        <v>69.8</v>
      </c>
      <c r="C200" s="3">
        <v>81.900000000000006</v>
      </c>
      <c r="D200" s="3">
        <v>15.62</v>
      </c>
      <c r="E200" s="3">
        <v>60</v>
      </c>
      <c r="F200" s="3">
        <v>52.95</v>
      </c>
      <c r="G200" s="3">
        <v>171.9</v>
      </c>
      <c r="H200" s="3">
        <v>38.15</v>
      </c>
      <c r="I200" s="3">
        <v>114.5</v>
      </c>
      <c r="J200" s="3">
        <v>10.08</v>
      </c>
      <c r="K200" s="3">
        <v>74.150000000000006</v>
      </c>
      <c r="L200" s="3">
        <v>26435.669922000001</v>
      </c>
      <c r="N200" s="5">
        <v>-6.4678630074856969E-3</v>
      </c>
      <c r="O200" s="5">
        <v>-5.50965581096996E-3</v>
      </c>
      <c r="P200" s="5">
        <v>-1.0296101252263767E-2</v>
      </c>
      <c r="Q200" s="5">
        <v>-8.3682496705161924E-3</v>
      </c>
      <c r="R200" s="5">
        <v>-6.6319523037514649E-3</v>
      </c>
      <c r="S200" s="5">
        <v>-6.4196310343342944E-3</v>
      </c>
      <c r="T200" s="5">
        <v>-1.718482475410088E-2</v>
      </c>
      <c r="U200" s="5">
        <v>-7.8913167072434121E-3</v>
      </c>
      <c r="V200" s="5">
        <v>-5.9701669865037665E-3</v>
      </c>
      <c r="W200" s="5">
        <v>-1.7001429569329041E-2</v>
      </c>
      <c r="X200" s="5">
        <v>-8.1002093636364236E-3</v>
      </c>
      <c r="AZ200" s="3" t="s">
        <v>206</v>
      </c>
      <c r="BA200" s="3">
        <v>195</v>
      </c>
      <c r="BB200" s="3">
        <v>0.96583154681981587</v>
      </c>
      <c r="BC200" s="3">
        <v>0.96573883939693339</v>
      </c>
      <c r="BD200" s="3">
        <v>0.87859556516798354</v>
      </c>
      <c r="BE200" s="3">
        <v>0.46225133255569795</v>
      </c>
      <c r="BG200" s="3">
        <v>-8.3401238966347019E-3</v>
      </c>
      <c r="BH200" s="3">
        <v>-8.2113834742169323E-3</v>
      </c>
      <c r="BI200" s="3">
        <v>-6.4483321611455424E-3</v>
      </c>
      <c r="BJ200" s="3">
        <v>-3.9217701745445366E-3</v>
      </c>
    </row>
    <row r="201" spans="1:62" x14ac:dyDescent="0.2">
      <c r="A201" s="3" t="s">
        <v>209</v>
      </c>
      <c r="B201" s="3">
        <v>69.349999999999994</v>
      </c>
      <c r="C201" s="3">
        <v>81.45</v>
      </c>
      <c r="D201" s="3">
        <v>15.46</v>
      </c>
      <c r="E201" s="3">
        <v>59.5</v>
      </c>
      <c r="F201" s="3">
        <v>52.6</v>
      </c>
      <c r="G201" s="3">
        <v>170.8</v>
      </c>
      <c r="H201" s="3">
        <v>37.5</v>
      </c>
      <c r="I201" s="3">
        <v>113.6</v>
      </c>
      <c r="J201" s="3">
        <v>10.02</v>
      </c>
      <c r="K201" s="3">
        <v>72.900000000000006</v>
      </c>
      <c r="L201" s="3">
        <v>26222.400390999999</v>
      </c>
      <c r="N201" s="5">
        <v>3.5984205795331903E-3</v>
      </c>
      <c r="O201" s="5">
        <v>1.220271395755379E-2</v>
      </c>
      <c r="P201" s="5">
        <v>2.5839807659249203E-3</v>
      </c>
      <c r="Q201" s="5">
        <v>7.5345689219394885E-3</v>
      </c>
      <c r="R201" s="5">
        <v>2.8476526125116308E-3</v>
      </c>
      <c r="S201" s="5">
        <v>4.6729056993921603E-3</v>
      </c>
      <c r="T201" s="5">
        <v>7.9681696491769038E-3</v>
      </c>
      <c r="U201" s="5">
        <v>3.5149421074445186E-3</v>
      </c>
      <c r="V201" s="5">
        <v>0</v>
      </c>
      <c r="W201" s="5">
        <v>-1.1034594723708935E-2</v>
      </c>
      <c r="X201" s="5">
        <v>2.2322224044994954E-3</v>
      </c>
      <c r="AZ201" s="3" t="s">
        <v>207</v>
      </c>
      <c r="BA201" s="3">
        <v>196</v>
      </c>
      <c r="BB201" s="3">
        <v>0.95780988936184885</v>
      </c>
      <c r="BC201" s="3">
        <v>0.9578412568657303</v>
      </c>
      <c r="BD201" s="3">
        <v>0.87294831636467951</v>
      </c>
      <c r="BE201" s="3">
        <v>0.4604420392018464</v>
      </c>
      <c r="BG201" s="3">
        <v>4.9591973906661369E-3</v>
      </c>
      <c r="BH201" s="3">
        <v>5.4882517271533857E-3</v>
      </c>
      <c r="BI201" s="3">
        <v>9.2730180966594244E-3</v>
      </c>
      <c r="BJ201" s="3">
        <v>1.4148410479989715E-2</v>
      </c>
    </row>
    <row r="202" spans="1:62" x14ac:dyDescent="0.2">
      <c r="A202" s="3" t="s">
        <v>210</v>
      </c>
      <c r="B202" s="3">
        <v>69.599999999999994</v>
      </c>
      <c r="C202" s="3">
        <v>82.45</v>
      </c>
      <c r="D202" s="3">
        <v>15.5</v>
      </c>
      <c r="E202" s="3">
        <v>59.95</v>
      </c>
      <c r="F202" s="3">
        <v>52.75</v>
      </c>
      <c r="G202" s="3">
        <v>171.6</v>
      </c>
      <c r="H202" s="3">
        <v>37.799999999999997</v>
      </c>
      <c r="I202" s="3">
        <v>114</v>
      </c>
      <c r="J202" s="3">
        <v>10.02</v>
      </c>
      <c r="K202" s="3">
        <v>72.099999999999994</v>
      </c>
      <c r="L202" s="3">
        <v>26281</v>
      </c>
      <c r="N202" s="5">
        <v>-4.3196611445166511E-3</v>
      </c>
      <c r="O202" s="5">
        <v>-5.4728017413543384E-3</v>
      </c>
      <c r="P202" s="5">
        <v>-1.8229671491661215E-2</v>
      </c>
      <c r="Q202" s="5">
        <v>-9.2166551049244205E-3</v>
      </c>
      <c r="R202" s="5">
        <v>9.4741835604006397E-4</v>
      </c>
      <c r="S202" s="5">
        <v>-1.349389791477229E-2</v>
      </c>
      <c r="T202" s="5">
        <v>-2.6811257450656711E-2</v>
      </c>
      <c r="U202" s="5">
        <v>-1.3245226750020933E-2</v>
      </c>
      <c r="V202" s="5">
        <v>-1.9980026626726932E-3</v>
      </c>
      <c r="W202" s="5">
        <v>-8.356594590941846E-3</v>
      </c>
      <c r="X202" s="5">
        <v>-1.2853856909107009E-2</v>
      </c>
      <c r="AZ202" s="3" t="s">
        <v>208</v>
      </c>
      <c r="BA202" s="3">
        <v>197</v>
      </c>
      <c r="BB202" s="3">
        <v>0.96257165517513277</v>
      </c>
      <c r="BC202" s="3">
        <v>0.96311258274833245</v>
      </c>
      <c r="BD202" s="3">
        <v>0.88108083009790228</v>
      </c>
      <c r="BE202" s="3">
        <v>0.46700286536172303</v>
      </c>
      <c r="BG202" s="3">
        <v>-9.189787801565194E-3</v>
      </c>
      <c r="BH202" s="3">
        <v>-8.8930842587328154E-3</v>
      </c>
      <c r="BI202" s="3">
        <v>-7.1763160560711914E-3</v>
      </c>
      <c r="BJ202" s="3">
        <v>-4.5215147213494289E-3</v>
      </c>
    </row>
    <row r="203" spans="1:62" x14ac:dyDescent="0.2">
      <c r="A203" s="3" t="s">
        <v>211</v>
      </c>
      <c r="B203" s="3">
        <v>69.3</v>
      </c>
      <c r="C203" s="3">
        <v>82</v>
      </c>
      <c r="D203" s="3">
        <v>15.22</v>
      </c>
      <c r="E203" s="3">
        <v>59.4</v>
      </c>
      <c r="F203" s="3">
        <v>52.8</v>
      </c>
      <c r="G203" s="3">
        <v>169.3</v>
      </c>
      <c r="H203" s="3">
        <v>36.799999999999997</v>
      </c>
      <c r="I203" s="3">
        <v>112.5</v>
      </c>
      <c r="J203" s="3">
        <v>10</v>
      </c>
      <c r="K203" s="3">
        <v>71.5</v>
      </c>
      <c r="L203" s="3">
        <v>25945.349609000001</v>
      </c>
      <c r="N203" s="5">
        <v>-7.2176112840960371E-4</v>
      </c>
      <c r="O203" s="5">
        <v>-3.6652453982961575E-3</v>
      </c>
      <c r="P203" s="5">
        <v>6.5488118789054361E-3</v>
      </c>
      <c r="Q203" s="5">
        <v>5.8749644430209358E-3</v>
      </c>
      <c r="R203" s="5">
        <v>-3.7950709685516948E-3</v>
      </c>
      <c r="S203" s="5">
        <v>-6.5185416002417895E-3</v>
      </c>
      <c r="T203" s="5">
        <v>-4.0844168422249361E-3</v>
      </c>
      <c r="U203" s="5">
        <v>-4.4543503493805758E-3</v>
      </c>
      <c r="V203" s="5">
        <v>1.980262729617932E-2</v>
      </c>
      <c r="W203" s="5">
        <v>1.3889112160667239E-2</v>
      </c>
      <c r="X203" s="5">
        <v>3.7155316229178226E-3</v>
      </c>
      <c r="AZ203" s="3" t="s">
        <v>209</v>
      </c>
      <c r="BA203" s="3">
        <v>198</v>
      </c>
      <c r="BB203" s="3">
        <v>0.95376634734439869</v>
      </c>
      <c r="BC203" s="3">
        <v>0.9545855135698964</v>
      </c>
      <c r="BD203" s="3">
        <v>0.8747805490326841</v>
      </c>
      <c r="BE203" s="3">
        <v>0.46489607156993967</v>
      </c>
      <c r="BG203" s="3">
        <v>3.5556689749058346E-3</v>
      </c>
      <c r="BH203" s="3">
        <v>3.9507225059395926E-3</v>
      </c>
      <c r="BI203" s="3">
        <v>5.352017151832783E-3</v>
      </c>
      <c r="BJ203" s="3">
        <v>7.1069165932043932E-3</v>
      </c>
    </row>
    <row r="204" spans="1:62" x14ac:dyDescent="0.2">
      <c r="A204" s="3" t="s">
        <v>212</v>
      </c>
      <c r="B204" s="3">
        <v>69.25</v>
      </c>
      <c r="C204" s="3">
        <v>81.7</v>
      </c>
      <c r="D204" s="3">
        <v>15.32</v>
      </c>
      <c r="E204" s="3">
        <v>59.75</v>
      </c>
      <c r="F204" s="3">
        <v>52.6</v>
      </c>
      <c r="G204" s="3">
        <v>168.2</v>
      </c>
      <c r="H204" s="3">
        <v>36.65</v>
      </c>
      <c r="I204" s="3">
        <v>112</v>
      </c>
      <c r="J204" s="3">
        <v>10.199999999999999</v>
      </c>
      <c r="K204" s="3">
        <v>72.5</v>
      </c>
      <c r="L204" s="3">
        <v>26041.929688</v>
      </c>
      <c r="N204" s="5">
        <v>-2.1684142938234174E-3</v>
      </c>
      <c r="O204" s="5">
        <v>8.5314350494689606E-3</v>
      </c>
      <c r="P204" s="5">
        <v>-1.3063359140552677E-3</v>
      </c>
      <c r="Q204" s="5">
        <v>2.5073143097831263E-3</v>
      </c>
      <c r="R204" s="5">
        <v>-9.5511709843427717E-3</v>
      </c>
      <c r="S204" s="5">
        <v>7.6991792816567539E-3</v>
      </c>
      <c r="T204" s="5">
        <v>-1.3651879253400168E-3</v>
      </c>
      <c r="U204" s="5">
        <v>0</v>
      </c>
      <c r="V204" s="5">
        <v>-1.9627091678486863E-3</v>
      </c>
      <c r="W204" s="5">
        <v>-1.380262468957838E-3</v>
      </c>
      <c r="X204" s="5">
        <v>-3.3509493913275179E-3</v>
      </c>
      <c r="AZ204" s="3" t="s">
        <v>210</v>
      </c>
      <c r="BA204" s="3">
        <v>199</v>
      </c>
      <c r="BB204" s="3">
        <v>0.95716366103711747</v>
      </c>
      <c r="BC204" s="3">
        <v>0.95836427554722103</v>
      </c>
      <c r="BD204" s="3">
        <v>0.87947494056164544</v>
      </c>
      <c r="BE204" s="3">
        <v>0.46821181758424357</v>
      </c>
      <c r="BG204" s="3">
        <v>-1.0298855029581278E-2</v>
      </c>
      <c r="BH204" s="3">
        <v>-9.6590612381635757E-3</v>
      </c>
      <c r="BI204" s="3">
        <v>-6.3903370765517886E-3</v>
      </c>
      <c r="BJ204" s="3">
        <v>-1.6181548378524369E-4</v>
      </c>
    </row>
    <row r="205" spans="1:62" x14ac:dyDescent="0.2">
      <c r="A205" s="3" t="s">
        <v>213</v>
      </c>
      <c r="B205" s="3">
        <v>69.099999999999994</v>
      </c>
      <c r="C205" s="3">
        <v>82.4</v>
      </c>
      <c r="D205" s="3">
        <v>15.3</v>
      </c>
      <c r="E205" s="3">
        <v>59.9</v>
      </c>
      <c r="F205" s="3">
        <v>52.1</v>
      </c>
      <c r="G205" s="3">
        <v>169.5</v>
      </c>
      <c r="H205" s="3">
        <v>36.6</v>
      </c>
      <c r="I205" s="3">
        <v>112</v>
      </c>
      <c r="J205" s="3">
        <v>10.18</v>
      </c>
      <c r="K205" s="3">
        <v>72.400000000000006</v>
      </c>
      <c r="L205" s="3">
        <v>25954.810547000001</v>
      </c>
      <c r="N205" s="5">
        <v>1.4461318499998654E-3</v>
      </c>
      <c r="O205" s="5">
        <v>-6.0698029177697066E-4</v>
      </c>
      <c r="P205" s="5">
        <v>-1.3080446600155504E-3</v>
      </c>
      <c r="Q205" s="5">
        <v>8.312599819365829E-3</v>
      </c>
      <c r="R205" s="5">
        <v>1.0501289820663118E-2</v>
      </c>
      <c r="S205" s="5">
        <v>-2.9542118974310583E-3</v>
      </c>
      <c r="T205" s="5">
        <v>-2.7359798188744122E-3</v>
      </c>
      <c r="U205" s="5">
        <v>7.1174677688645716E-3</v>
      </c>
      <c r="V205" s="5">
        <v>0</v>
      </c>
      <c r="W205" s="5">
        <v>7.5679755771238533E-3</v>
      </c>
      <c r="X205" s="5">
        <v>5.2821139396996841E-3</v>
      </c>
      <c r="AZ205" s="3" t="s">
        <v>211</v>
      </c>
      <c r="BA205" s="3">
        <v>200</v>
      </c>
      <c r="BB205" s="3">
        <v>0.94735655889763748</v>
      </c>
      <c r="BC205" s="3">
        <v>0.94915193920553442</v>
      </c>
      <c r="BD205" s="3">
        <v>0.87387271834977165</v>
      </c>
      <c r="BE205" s="3">
        <v>0.46813605979202438</v>
      </c>
      <c r="BG205" s="3">
        <v>2.1333626874906544E-3</v>
      </c>
      <c r="BH205" s="3">
        <v>1.5144128533372894E-3</v>
      </c>
      <c r="BI205" s="3">
        <v>-1.4232846480250472E-3</v>
      </c>
      <c r="BJ205" s="3">
        <v>-5.6463190847658717E-3</v>
      </c>
    </row>
    <row r="206" spans="1:62" x14ac:dyDescent="0.2">
      <c r="A206" s="3" t="s">
        <v>214</v>
      </c>
      <c r="B206" s="3">
        <v>69.2</v>
      </c>
      <c r="C206" s="3">
        <v>82.35</v>
      </c>
      <c r="D206" s="3">
        <v>15.28</v>
      </c>
      <c r="E206" s="3">
        <v>60.4</v>
      </c>
      <c r="F206" s="3">
        <v>52.65</v>
      </c>
      <c r="G206" s="3">
        <v>169</v>
      </c>
      <c r="H206" s="3">
        <v>36.5</v>
      </c>
      <c r="I206" s="3">
        <v>112.8</v>
      </c>
      <c r="J206" s="3">
        <v>10.18</v>
      </c>
      <c r="K206" s="3">
        <v>72.95</v>
      </c>
      <c r="L206" s="3">
        <v>26092.269531000002</v>
      </c>
      <c r="N206" s="5">
        <v>4.3258899471219081E-3</v>
      </c>
      <c r="O206" s="5">
        <v>-1.4679162663048473E-2</v>
      </c>
      <c r="P206" s="5">
        <v>-5.2493558861437251E-3</v>
      </c>
      <c r="Q206" s="5">
        <v>-1.2494956396843726E-2</v>
      </c>
      <c r="R206" s="5">
        <v>1.0392157767614041E-2</v>
      </c>
      <c r="S206" s="5">
        <v>-1.0110106930294904E-2</v>
      </c>
      <c r="T206" s="5">
        <v>1.630470902494352E-2</v>
      </c>
      <c r="U206" s="5">
        <v>9.7045313891781504E-3</v>
      </c>
      <c r="V206" s="5">
        <v>2.7133447514400277E-2</v>
      </c>
      <c r="W206" s="5">
        <v>8.8707507660359397E-3</v>
      </c>
      <c r="X206" s="5">
        <v>-1.9019902926107335E-3</v>
      </c>
      <c r="AZ206" s="3" t="s">
        <v>212</v>
      </c>
      <c r="BA206" s="3">
        <v>201</v>
      </c>
      <c r="BB206" s="3">
        <v>0.94937977138781382</v>
      </c>
      <c r="BC206" s="3">
        <v>0.95059043606617866</v>
      </c>
      <c r="BD206" s="3">
        <v>0.87262983342474643</v>
      </c>
      <c r="BE206" s="3">
        <v>0.46550026250225696</v>
      </c>
      <c r="BG206" s="3">
        <v>4.9401480414344723E-5</v>
      </c>
      <c r="BH206" s="3">
        <v>-1.7951611263539863E-4</v>
      </c>
      <c r="BI206" s="3">
        <v>-2.5314087159322984E-3</v>
      </c>
      <c r="BJ206" s="3">
        <v>-6.5505184260801208E-3</v>
      </c>
    </row>
    <row r="207" spans="1:62" x14ac:dyDescent="0.2">
      <c r="A207" s="3" t="s">
        <v>215</v>
      </c>
      <c r="B207" s="3">
        <v>69.5</v>
      </c>
      <c r="C207" s="3">
        <v>81.150000000000006</v>
      </c>
      <c r="D207" s="3">
        <v>15.2</v>
      </c>
      <c r="E207" s="3">
        <v>59.65</v>
      </c>
      <c r="F207" s="3">
        <v>53.2</v>
      </c>
      <c r="G207" s="3">
        <v>167.3</v>
      </c>
      <c r="H207" s="3">
        <v>37.1</v>
      </c>
      <c r="I207" s="3">
        <v>113.9</v>
      </c>
      <c r="J207" s="3">
        <v>10.46</v>
      </c>
      <c r="K207" s="3">
        <v>73.599999999999994</v>
      </c>
      <c r="L207" s="3">
        <v>26042.689452999999</v>
      </c>
      <c r="N207" s="5">
        <v>1.4378147696278987E-3</v>
      </c>
      <c r="O207" s="5">
        <v>1.1638722497782084E-2</v>
      </c>
      <c r="P207" s="5">
        <v>1.1772536225267416E-2</v>
      </c>
      <c r="Q207" s="5">
        <v>-1.3502314837639418E-2</v>
      </c>
      <c r="R207" s="5">
        <v>9.35460516722042E-3</v>
      </c>
      <c r="S207" s="5">
        <v>3.5799560907170402E-3</v>
      </c>
      <c r="T207" s="5">
        <v>-6.7613509780439784E-3</v>
      </c>
      <c r="U207" s="5">
        <v>2.6304267687731198E-3</v>
      </c>
      <c r="V207" s="5">
        <v>5.7197486727869062E-3</v>
      </c>
      <c r="W207" s="5">
        <v>2.7137058715958062E-3</v>
      </c>
      <c r="X207" s="5">
        <v>2.593182823375173E-3</v>
      </c>
      <c r="AZ207" s="3" t="s">
        <v>213</v>
      </c>
      <c r="BA207" s="3">
        <v>202</v>
      </c>
      <c r="BB207" s="3">
        <v>0.94942667331249853</v>
      </c>
      <c r="BC207" s="3">
        <v>0.95041980508235135</v>
      </c>
      <c r="BD207" s="3">
        <v>0.87042364422003382</v>
      </c>
      <c r="BE207" s="3">
        <v>0.46246095982733071</v>
      </c>
      <c r="BG207" s="3">
        <v>2.6431681179549665E-3</v>
      </c>
      <c r="BH207" s="3">
        <v>3.0722083559749161E-3</v>
      </c>
      <c r="BI207" s="3">
        <v>3.3091117255431013E-3</v>
      </c>
      <c r="BJ207" s="3">
        <v>5.049824296871841E-3</v>
      </c>
    </row>
    <row r="208" spans="1:62" x14ac:dyDescent="0.2">
      <c r="A208" s="3" t="s">
        <v>216</v>
      </c>
      <c r="B208" s="3">
        <v>69.599999999999994</v>
      </c>
      <c r="C208" s="3">
        <v>82.1</v>
      </c>
      <c r="D208" s="3">
        <v>15.38</v>
      </c>
      <c r="E208" s="3">
        <v>58.85</v>
      </c>
      <c r="F208" s="3">
        <v>53.7</v>
      </c>
      <c r="G208" s="3">
        <v>167.9</v>
      </c>
      <c r="H208" s="3">
        <v>36.85</v>
      </c>
      <c r="I208" s="3">
        <v>114.2</v>
      </c>
      <c r="J208" s="3">
        <v>10.52</v>
      </c>
      <c r="K208" s="3">
        <v>73.8</v>
      </c>
      <c r="L208" s="3">
        <v>26110.310547000001</v>
      </c>
      <c r="N208" s="5">
        <v>-1.7391742711868829E-2</v>
      </c>
      <c r="O208" s="5">
        <v>-1.3488861785943662E-2</v>
      </c>
      <c r="P208" s="5">
        <v>-1.4407583863272233E-2</v>
      </c>
      <c r="Q208" s="5">
        <v>-1.0247741260475784E-2</v>
      </c>
      <c r="R208" s="5">
        <v>-1.0294896726862124E-2</v>
      </c>
      <c r="S208" s="5">
        <v>-1.9850275840526344E-2</v>
      </c>
      <c r="T208" s="5">
        <v>-1.779649980361997E-2</v>
      </c>
      <c r="U208" s="5">
        <v>-2.9322402865588515E-2</v>
      </c>
      <c r="V208" s="5">
        <v>-1.1472401162236689E-2</v>
      </c>
      <c r="W208" s="5">
        <v>-4.7538289865398653E-3</v>
      </c>
      <c r="X208" s="5">
        <v>-1.114102748187662E-2</v>
      </c>
      <c r="AZ208" s="3" t="s">
        <v>214</v>
      </c>
      <c r="BA208" s="3">
        <v>203</v>
      </c>
      <c r="BB208" s="3">
        <v>0.95193948705737563</v>
      </c>
      <c r="BC208" s="3">
        <v>0.9533441825975929</v>
      </c>
      <c r="BD208" s="3">
        <v>0.87330874423374838</v>
      </c>
      <c r="BE208" s="3">
        <v>0.46480221290164914</v>
      </c>
      <c r="BG208" s="3">
        <v>3.6014167649878678E-3</v>
      </c>
      <c r="BH208" s="3">
        <v>1.8587541797056156E-3</v>
      </c>
      <c r="BI208" s="3">
        <v>1.838473411438335E-3</v>
      </c>
      <c r="BJ208" s="3">
        <v>1.1916006525225509E-4</v>
      </c>
    </row>
    <row r="209" spans="1:62" x14ac:dyDescent="0.2">
      <c r="A209" s="3" t="s">
        <v>217</v>
      </c>
      <c r="B209" s="3">
        <v>68.400000000000006</v>
      </c>
      <c r="C209" s="3">
        <v>81</v>
      </c>
      <c r="D209" s="3">
        <v>15.16</v>
      </c>
      <c r="E209" s="3">
        <v>58.25</v>
      </c>
      <c r="F209" s="3">
        <v>53.15</v>
      </c>
      <c r="G209" s="3">
        <v>164.6</v>
      </c>
      <c r="H209" s="3">
        <v>36.200000000000003</v>
      </c>
      <c r="I209" s="3">
        <v>110.9</v>
      </c>
      <c r="J209" s="3">
        <v>10.4</v>
      </c>
      <c r="K209" s="3">
        <v>73.45</v>
      </c>
      <c r="L209" s="3">
        <v>25821.029297000001</v>
      </c>
      <c r="N209" s="5">
        <v>-8.8106296821557351E-3</v>
      </c>
      <c r="O209" s="5">
        <v>-1.8535686493237336E-3</v>
      </c>
      <c r="P209" s="5">
        <v>-2.642009462838768E-3</v>
      </c>
      <c r="Q209" s="5">
        <v>3.4275954722673418E-3</v>
      </c>
      <c r="R209" s="5">
        <v>-8.5026492406403698E-3</v>
      </c>
      <c r="S209" s="5">
        <v>3.6385728439087828E-3</v>
      </c>
      <c r="T209" s="5">
        <v>4.1350851478028083E-3</v>
      </c>
      <c r="U209" s="5">
        <v>-1.0879527075136508E-2</v>
      </c>
      <c r="V209" s="5">
        <v>-2.5317807984289953E-2</v>
      </c>
      <c r="W209" s="5">
        <v>-1.8550858328983288E-2</v>
      </c>
      <c r="X209" s="5">
        <v>2.7988761233999071E-3</v>
      </c>
      <c r="AZ209" s="3" t="s">
        <v>215</v>
      </c>
      <c r="BA209" s="3">
        <v>204</v>
      </c>
      <c r="BB209" s="3">
        <v>0.95537399872707951</v>
      </c>
      <c r="BC209" s="3">
        <v>0.95511786298894741</v>
      </c>
      <c r="BD209" s="3">
        <v>0.87491577592987591</v>
      </c>
      <c r="BE209" s="3">
        <v>0.46485760206369042</v>
      </c>
      <c r="BG209" s="3">
        <v>3.0776385002589668E-3</v>
      </c>
      <c r="BH209" s="3">
        <v>3.4395679045817751E-3</v>
      </c>
      <c r="BI209" s="3">
        <v>1.0966522419786365E-2</v>
      </c>
      <c r="BJ209" s="3">
        <v>2.0582174845761414E-2</v>
      </c>
    </row>
    <row r="210" spans="1:62" x14ac:dyDescent="0.2">
      <c r="A210" s="3" t="s">
        <v>218</v>
      </c>
      <c r="B210" s="3">
        <v>67.8</v>
      </c>
      <c r="C210" s="3">
        <v>80.849999999999994</v>
      </c>
      <c r="D210" s="3">
        <v>15.12</v>
      </c>
      <c r="E210" s="3">
        <v>58.45</v>
      </c>
      <c r="F210" s="3">
        <v>52.7</v>
      </c>
      <c r="G210" s="3">
        <v>165.2</v>
      </c>
      <c r="H210" s="3">
        <v>36.35</v>
      </c>
      <c r="I210" s="3">
        <v>109.7</v>
      </c>
      <c r="J210" s="3">
        <v>10.14</v>
      </c>
      <c r="K210" s="3">
        <v>72.099999999999994</v>
      </c>
      <c r="L210" s="3">
        <v>25893.400390999999</v>
      </c>
      <c r="N210" s="5">
        <v>8.0793682236093289E-3</v>
      </c>
      <c r="O210" s="5">
        <v>-1.5581493172778238E-2</v>
      </c>
      <c r="P210" s="5">
        <v>-5.3050522296933522E-3</v>
      </c>
      <c r="Q210" s="5">
        <v>-6.0060240602117787E-3</v>
      </c>
      <c r="R210" s="5">
        <v>-3.8022859497384154E-3</v>
      </c>
      <c r="S210" s="5">
        <v>-3.323382775470396E-2</v>
      </c>
      <c r="T210" s="5">
        <v>5.4869822162588733E-3</v>
      </c>
      <c r="U210" s="5">
        <v>-1.0999194300670645E-2</v>
      </c>
      <c r="V210" s="5">
        <v>-3.9525743158232984E-3</v>
      </c>
      <c r="W210" s="5">
        <v>-2.5993736077047913E-2</v>
      </c>
      <c r="X210" s="5">
        <v>-8.1662072675801056E-3</v>
      </c>
      <c r="AZ210" s="3" t="s">
        <v>216</v>
      </c>
      <c r="BA210" s="3">
        <v>205</v>
      </c>
      <c r="BB210" s="3">
        <v>0.95831882375673871</v>
      </c>
      <c r="BC210" s="3">
        <v>0.95840871204056521</v>
      </c>
      <c r="BD210" s="3">
        <v>0.88456336295331339</v>
      </c>
      <c r="BE210" s="3">
        <v>0.47452452438968334</v>
      </c>
      <c r="BG210" s="3">
        <v>-1.5057096260397522E-2</v>
      </c>
      <c r="BH210" s="3">
        <v>-1.4478197046476952E-2</v>
      </c>
      <c r="BI210" s="3">
        <v>-1.3674197279615344E-2</v>
      </c>
      <c r="BJ210" s="3">
        <v>-1.1186245110397675E-2</v>
      </c>
    </row>
    <row r="211" spans="1:62" x14ac:dyDescent="0.2">
      <c r="A211" s="3" t="s">
        <v>219</v>
      </c>
      <c r="B211" s="3">
        <v>68.349999999999994</v>
      </c>
      <c r="C211" s="3">
        <v>79.599999999999994</v>
      </c>
      <c r="D211" s="3">
        <v>15.04</v>
      </c>
      <c r="E211" s="3">
        <v>58.1</v>
      </c>
      <c r="F211" s="3">
        <v>52.5</v>
      </c>
      <c r="G211" s="3">
        <v>159.80000000000001</v>
      </c>
      <c r="H211" s="3">
        <v>36.549999999999997</v>
      </c>
      <c r="I211" s="3">
        <v>108.5</v>
      </c>
      <c r="J211" s="3">
        <v>10.1</v>
      </c>
      <c r="K211" s="3">
        <v>70.25</v>
      </c>
      <c r="L211" s="3">
        <v>25682.810547000001</v>
      </c>
      <c r="N211" s="5">
        <v>5.1076360583452995E-3</v>
      </c>
      <c r="O211" s="5">
        <v>0</v>
      </c>
      <c r="P211" s="5">
        <v>-5.3333459753623913E-3</v>
      </c>
      <c r="Q211" s="5">
        <v>-1.1250659563101451E-2</v>
      </c>
      <c r="R211" s="5">
        <v>7.5901692666753284E-3</v>
      </c>
      <c r="S211" s="5">
        <v>-1.1328000305207198E-2</v>
      </c>
      <c r="T211" s="5">
        <v>-1.5162247739677337E-2</v>
      </c>
      <c r="U211" s="5">
        <v>-2.7688065681328311E-3</v>
      </c>
      <c r="V211" s="5">
        <v>-5.9583095836308608E-3</v>
      </c>
      <c r="W211" s="5">
        <v>4.2613700849676306E-3</v>
      </c>
      <c r="X211" s="5">
        <v>9.7757467145065391E-4</v>
      </c>
      <c r="AZ211" s="3" t="s">
        <v>217</v>
      </c>
      <c r="BA211" s="3">
        <v>206</v>
      </c>
      <c r="BB211" s="3">
        <v>0.9439974149681698</v>
      </c>
      <c r="BC211" s="3">
        <v>0.94463264877774977</v>
      </c>
      <c r="BD211" s="3">
        <v>0.87254999281005685</v>
      </c>
      <c r="BE211" s="3">
        <v>0.46924595547489928</v>
      </c>
      <c r="BG211" s="3">
        <v>-6.4850746259769582E-3</v>
      </c>
      <c r="BH211" s="3">
        <v>-5.5486084035833091E-3</v>
      </c>
      <c r="BI211" s="3">
        <v>-6.0399739866055235E-3</v>
      </c>
      <c r="BJ211" s="3">
        <v>-6.1364023700077874E-3</v>
      </c>
    </row>
    <row r="212" spans="1:62" x14ac:dyDescent="0.2">
      <c r="A212" s="3" t="s">
        <v>220</v>
      </c>
      <c r="B212" s="3">
        <v>68.7</v>
      </c>
      <c r="C212" s="3">
        <v>79.599999999999994</v>
      </c>
      <c r="D212" s="3">
        <v>14.96</v>
      </c>
      <c r="E212" s="3">
        <v>57.45</v>
      </c>
      <c r="F212" s="3">
        <v>52.9</v>
      </c>
      <c r="G212" s="3">
        <v>158</v>
      </c>
      <c r="H212" s="3">
        <v>36</v>
      </c>
      <c r="I212" s="3">
        <v>108.2</v>
      </c>
      <c r="J212" s="3">
        <v>10.039999999999999</v>
      </c>
      <c r="K212" s="3">
        <v>70.55</v>
      </c>
      <c r="L212" s="3">
        <v>25707.929688</v>
      </c>
      <c r="N212" s="5">
        <v>2.0886607320165673E-2</v>
      </c>
      <c r="O212" s="5">
        <v>1.6199731214109114E-2</v>
      </c>
      <c r="P212" s="5">
        <v>2.6386755173194665E-2</v>
      </c>
      <c r="Q212" s="5">
        <v>2.5774622688615523E-2</v>
      </c>
      <c r="R212" s="5">
        <v>2.0580707700021073E-2</v>
      </c>
      <c r="S212" s="5">
        <v>3.4217957310341163E-2</v>
      </c>
      <c r="T212" s="5">
        <v>3.6813973122716614E-2</v>
      </c>
      <c r="U212" s="5">
        <v>3.6301626676214838E-2</v>
      </c>
      <c r="V212" s="5">
        <v>3.1375122567753877E-2</v>
      </c>
      <c r="W212" s="5">
        <v>2.0344440717232182E-2</v>
      </c>
      <c r="X212" s="5">
        <v>2.3090286976840346E-2</v>
      </c>
      <c r="AZ212" s="3" t="s">
        <v>218</v>
      </c>
      <c r="BA212" s="3">
        <v>207</v>
      </c>
      <c r="BB212" s="3">
        <v>0.93789532891295369</v>
      </c>
      <c r="BC212" s="3">
        <v>0.93940576649593832</v>
      </c>
      <c r="BD212" s="3">
        <v>0.86729569742879287</v>
      </c>
      <c r="BE212" s="3">
        <v>0.46637529026800251</v>
      </c>
      <c r="BG212" s="3">
        <v>-8.8600217491363875E-3</v>
      </c>
      <c r="BH212" s="3">
        <v>-8.5895008503403258E-3</v>
      </c>
      <c r="BI212" s="3">
        <v>-5.6658401076526421E-3</v>
      </c>
      <c r="BJ212" s="3">
        <v>-1.0905620308651054E-3</v>
      </c>
    </row>
    <row r="213" spans="1:62" x14ac:dyDescent="0.2">
      <c r="A213" s="3" t="s">
        <v>221</v>
      </c>
      <c r="B213" s="3">
        <v>70.150000000000006</v>
      </c>
      <c r="C213" s="3">
        <v>80.900000000000006</v>
      </c>
      <c r="D213" s="3">
        <v>15.36</v>
      </c>
      <c r="E213" s="3">
        <v>58.95</v>
      </c>
      <c r="F213" s="3">
        <v>54</v>
      </c>
      <c r="G213" s="3">
        <v>163.5</v>
      </c>
      <c r="H213" s="3">
        <v>37.35</v>
      </c>
      <c r="I213" s="3">
        <v>112.2</v>
      </c>
      <c r="J213" s="3">
        <v>10.36</v>
      </c>
      <c r="K213" s="3">
        <v>72</v>
      </c>
      <c r="L213" s="3">
        <v>26308.439452999999</v>
      </c>
      <c r="N213" s="5">
        <v>1.9760699453990505E-2</v>
      </c>
      <c r="O213" s="5">
        <v>-1.2368585373963015E-3</v>
      </c>
      <c r="P213" s="5">
        <v>-5.2219439811516111E-3</v>
      </c>
      <c r="Q213" s="5">
        <v>1.6821254490143822E-2</v>
      </c>
      <c r="R213" s="5">
        <v>4.6189458562944097E-3</v>
      </c>
      <c r="S213" s="5">
        <v>4.8810347059147219E-3</v>
      </c>
      <c r="T213" s="5">
        <v>-2.6809667532581294E-3</v>
      </c>
      <c r="U213" s="5">
        <v>1.7809443709948525E-3</v>
      </c>
      <c r="V213" s="5">
        <v>0</v>
      </c>
      <c r="W213" s="5">
        <v>8.9872710002367739E-3</v>
      </c>
      <c r="X213" s="5">
        <v>8.0791273567548672E-3</v>
      </c>
      <c r="AZ213" s="3" t="s">
        <v>219</v>
      </c>
      <c r="BA213" s="3">
        <v>208</v>
      </c>
      <c r="BB213" s="3">
        <v>0.92962225980606061</v>
      </c>
      <c r="BC213" s="3">
        <v>0.93137129531256579</v>
      </c>
      <c r="BD213" s="3">
        <v>0.86239563327947666</v>
      </c>
      <c r="BE213" s="3">
        <v>0.46586695631953534</v>
      </c>
      <c r="BG213" s="3">
        <v>-3.6003487448295901E-3</v>
      </c>
      <c r="BH213" s="3">
        <v>-2.9372162714655092E-3</v>
      </c>
      <c r="BI213" s="3">
        <v>2.1472255144309171E-3</v>
      </c>
      <c r="BJ213" s="3">
        <v>1.0331734458327801E-2</v>
      </c>
    </row>
    <row r="214" spans="1:62" x14ac:dyDescent="0.2">
      <c r="A214" s="3" t="s">
        <v>222</v>
      </c>
      <c r="B214" s="3">
        <v>71.55</v>
      </c>
      <c r="C214" s="3">
        <v>80.8</v>
      </c>
      <c r="D214" s="3">
        <v>15.28</v>
      </c>
      <c r="E214" s="3">
        <v>59.95</v>
      </c>
      <c r="F214" s="3">
        <v>54.25</v>
      </c>
      <c r="G214" s="3">
        <v>164.3</v>
      </c>
      <c r="H214" s="3">
        <v>37.25</v>
      </c>
      <c r="I214" s="3">
        <v>112.4</v>
      </c>
      <c r="J214" s="3">
        <v>10.36</v>
      </c>
      <c r="K214" s="3">
        <v>72.650000000000006</v>
      </c>
      <c r="L214" s="3">
        <v>26521.849609000001</v>
      </c>
      <c r="N214" s="5">
        <v>9.7358209900813009E-3</v>
      </c>
      <c r="O214" s="5">
        <v>-2.4783160144670191E-3</v>
      </c>
      <c r="P214" s="5">
        <v>-3.934431304834618E-3</v>
      </c>
      <c r="Q214" s="5">
        <v>0</v>
      </c>
      <c r="R214" s="5">
        <v>2.7611614413278751E-3</v>
      </c>
      <c r="S214" s="5">
        <v>-1.5333020418831111E-2</v>
      </c>
      <c r="T214" s="5">
        <v>-1.3431835464672304E-3</v>
      </c>
      <c r="U214" s="5">
        <v>-4.4583221417111574E-3</v>
      </c>
      <c r="V214" s="5">
        <v>-1.9323677510536541E-3</v>
      </c>
      <c r="W214" s="5">
        <v>4.1208849525027347E-3</v>
      </c>
      <c r="X214" s="5">
        <v>-6.7589470328499601E-4</v>
      </c>
      <c r="AZ214" s="3" t="s">
        <v>220</v>
      </c>
      <c r="BA214" s="3">
        <v>209</v>
      </c>
      <c r="BB214" s="3">
        <v>0.92628131336488573</v>
      </c>
      <c r="BC214" s="3">
        <v>0.92863967004016179</v>
      </c>
      <c r="BD214" s="3">
        <v>0.86424938068141044</v>
      </c>
      <c r="BE214" s="3">
        <v>0.47070512028049166</v>
      </c>
      <c r="BG214" s="3">
        <v>2.7084777154321324E-2</v>
      </c>
      <c r="BH214" s="3">
        <v>2.5980720003508165E-2</v>
      </c>
      <c r="BI214" s="3">
        <v>2.1981060548394896E-2</v>
      </c>
      <c r="BJ214" s="3">
        <v>1.4840885460991937E-2</v>
      </c>
    </row>
    <row r="215" spans="1:62" x14ac:dyDescent="0.2">
      <c r="A215" s="3" t="s">
        <v>223</v>
      </c>
      <c r="B215" s="3">
        <v>72.25</v>
      </c>
      <c r="C215" s="3">
        <v>80.599999999999994</v>
      </c>
      <c r="D215" s="3">
        <v>15.22</v>
      </c>
      <c r="E215" s="3">
        <v>59.95</v>
      </c>
      <c r="F215" s="3">
        <v>54.4</v>
      </c>
      <c r="G215" s="3">
        <v>161.80000000000001</v>
      </c>
      <c r="H215" s="3">
        <v>37.200000000000003</v>
      </c>
      <c r="I215" s="3">
        <v>111.9</v>
      </c>
      <c r="J215" s="3">
        <v>10.34</v>
      </c>
      <c r="K215" s="3">
        <v>72.95</v>
      </c>
      <c r="L215" s="3">
        <v>26503.929688</v>
      </c>
      <c r="N215" s="5">
        <v>1.5110177596449503E-2</v>
      </c>
      <c r="O215" s="5">
        <v>-8.722796740354255E-3</v>
      </c>
      <c r="P215" s="5">
        <v>3.934431304834618E-3</v>
      </c>
      <c r="Q215" s="5">
        <v>2.4989600676379453E-3</v>
      </c>
      <c r="R215" s="5">
        <v>7.3260400920731605E-3</v>
      </c>
      <c r="S215" s="5">
        <v>3.7014231031857747E-3</v>
      </c>
      <c r="T215" s="5">
        <v>2.7834798993443766E-2</v>
      </c>
      <c r="U215" s="5">
        <v>2.906413294391097E-2</v>
      </c>
      <c r="V215" s="5">
        <v>3.9815685653355359E-2</v>
      </c>
      <c r="W215" s="5">
        <v>-4.8093531380448695E-3</v>
      </c>
      <c r="X215" s="5">
        <v>6.0318035240563006E-3</v>
      </c>
      <c r="AZ215" s="3" t="s">
        <v>221</v>
      </c>
      <c r="BA215" s="3">
        <v>210</v>
      </c>
      <c r="BB215" s="3">
        <v>0.95171227769123679</v>
      </c>
      <c r="BC215" s="3">
        <v>0.95308254413383642</v>
      </c>
      <c r="BD215" s="3">
        <v>0.88345682528775948</v>
      </c>
      <c r="BE215" s="3">
        <v>0.47774289528975866</v>
      </c>
      <c r="BG215" s="3">
        <v>4.3034589938963363E-3</v>
      </c>
      <c r="BH215" s="3">
        <v>4.648813066236622E-3</v>
      </c>
      <c r="BI215" s="3">
        <v>3.809823667007689E-4</v>
      </c>
      <c r="BJ215" s="3">
        <v>-3.0424497200575162E-3</v>
      </c>
    </row>
    <row r="216" spans="1:62" x14ac:dyDescent="0.2">
      <c r="A216" s="3" t="s">
        <v>224</v>
      </c>
      <c r="B216" s="3">
        <v>73.349999999999994</v>
      </c>
      <c r="C216" s="3">
        <v>79.900000000000006</v>
      </c>
      <c r="D216" s="3">
        <v>15.28</v>
      </c>
      <c r="E216" s="3">
        <v>60.1</v>
      </c>
      <c r="F216" s="3">
        <v>54.8</v>
      </c>
      <c r="G216" s="3">
        <v>162.4</v>
      </c>
      <c r="H216" s="3">
        <v>38.25</v>
      </c>
      <c r="I216" s="3">
        <v>115.2</v>
      </c>
      <c r="J216" s="3">
        <v>10.76</v>
      </c>
      <c r="K216" s="3">
        <v>72.599999999999994</v>
      </c>
      <c r="L216" s="3">
        <v>26664.279297000001</v>
      </c>
      <c r="N216" s="5">
        <v>-1.3642566918141696E-3</v>
      </c>
      <c r="O216" s="5">
        <v>2.5000013020850531E-3</v>
      </c>
      <c r="P216" s="5">
        <v>6.5231803391236909E-3</v>
      </c>
      <c r="Q216" s="5">
        <v>1.32233331746896E-2</v>
      </c>
      <c r="R216" s="5">
        <v>-9.1282525735980613E-4</v>
      </c>
      <c r="S216" s="5">
        <v>1.8304354862013206E-2</v>
      </c>
      <c r="T216" s="5">
        <v>1.2987195526811046E-2</v>
      </c>
      <c r="U216" s="5">
        <v>7.7821404420550522E-3</v>
      </c>
      <c r="V216" s="5">
        <v>3.8290912993314663E-2</v>
      </c>
      <c r="W216" s="5">
        <v>1.0277582758241088E-2</v>
      </c>
      <c r="X216" s="5">
        <v>6.884774092196011E-3</v>
      </c>
      <c r="AZ216" s="3" t="s">
        <v>222</v>
      </c>
      <c r="BA216" s="3">
        <v>211</v>
      </c>
      <c r="BB216" s="3">
        <v>0.95581675784879661</v>
      </c>
      <c r="BC216" s="3">
        <v>0.95752356144980022</v>
      </c>
      <c r="BD216" s="3">
        <v>0.8837934708838816</v>
      </c>
      <c r="BE216" s="3">
        <v>0.47629159542465532</v>
      </c>
      <c r="BG216" s="3">
        <v>-1.3863722361524278E-3</v>
      </c>
      <c r="BH216" s="3">
        <v>-1.0874665782670268E-3</v>
      </c>
      <c r="BI216" s="3">
        <v>-1.5967390494792122E-4</v>
      </c>
      <c r="BJ216" s="3">
        <v>2.4216610546801132E-3</v>
      </c>
    </row>
    <row r="217" spans="1:62" x14ac:dyDescent="0.2">
      <c r="A217" s="3" t="s">
        <v>225</v>
      </c>
      <c r="B217" s="3">
        <v>73.25</v>
      </c>
      <c r="C217" s="3">
        <v>80.099999999999994</v>
      </c>
      <c r="D217" s="3">
        <v>15.38</v>
      </c>
      <c r="E217" s="3">
        <v>60.9</v>
      </c>
      <c r="F217" s="3">
        <v>54.75</v>
      </c>
      <c r="G217" s="3">
        <v>165.4</v>
      </c>
      <c r="H217" s="3">
        <v>38.75</v>
      </c>
      <c r="I217" s="3">
        <v>116.1</v>
      </c>
      <c r="J217" s="3">
        <v>11.18</v>
      </c>
      <c r="K217" s="3">
        <v>73.349999999999994</v>
      </c>
      <c r="L217" s="3">
        <v>26848.490234000001</v>
      </c>
      <c r="N217" s="5">
        <v>-6.1622926945368306E-3</v>
      </c>
      <c r="O217" s="5">
        <v>-1.8744147943507983E-3</v>
      </c>
      <c r="P217" s="5">
        <v>-1.0457611643958309E-2</v>
      </c>
      <c r="Q217" s="5">
        <v>0</v>
      </c>
      <c r="R217" s="5">
        <v>-5.494519317640556E-3</v>
      </c>
      <c r="S217" s="5">
        <v>-1.2777782613171418E-2</v>
      </c>
      <c r="T217" s="5">
        <v>-1.9544596072970322E-2</v>
      </c>
      <c r="U217" s="5">
        <v>-8.6505729760091299E-3</v>
      </c>
      <c r="V217" s="5">
        <v>-1.2601426878004141E-2</v>
      </c>
      <c r="W217" s="5">
        <v>-3.4141378332579464E-3</v>
      </c>
      <c r="X217" s="5">
        <v>-4.8129568265036227E-3</v>
      </c>
      <c r="AZ217" s="3" t="s">
        <v>223</v>
      </c>
      <c r="BA217" s="3">
        <v>212</v>
      </c>
      <c r="BB217" s="3">
        <v>0.95449255816180212</v>
      </c>
      <c r="BC217" s="3">
        <v>0.9564828525494542</v>
      </c>
      <c r="BD217" s="3">
        <v>0.88365236339510977</v>
      </c>
      <c r="BE217" s="3">
        <v>0.47744640995228826</v>
      </c>
      <c r="BG217" s="3">
        <v>1.2165867660935567E-2</v>
      </c>
      <c r="BH217" s="3">
        <v>9.7341157267298931E-3</v>
      </c>
      <c r="BI217" s="3">
        <v>6.0355623246704376E-3</v>
      </c>
      <c r="BJ217" s="3">
        <v>-2.22417793392371E-3</v>
      </c>
    </row>
    <row r="218" spans="1:62" x14ac:dyDescent="0.2">
      <c r="A218" s="3" t="s">
        <v>226</v>
      </c>
      <c r="B218" s="3">
        <v>72.8</v>
      </c>
      <c r="C218" s="3">
        <v>79.95</v>
      </c>
      <c r="D218" s="3">
        <v>15.22</v>
      </c>
      <c r="E218" s="3">
        <v>60.9</v>
      </c>
      <c r="F218" s="3">
        <v>54.45</v>
      </c>
      <c r="G218" s="3">
        <v>163.30000000000001</v>
      </c>
      <c r="H218" s="3">
        <v>38</v>
      </c>
      <c r="I218" s="3">
        <v>115.1</v>
      </c>
      <c r="J218" s="3">
        <v>11.04</v>
      </c>
      <c r="K218" s="3">
        <v>73.099999999999994</v>
      </c>
      <c r="L218" s="3">
        <v>26719.580077999999</v>
      </c>
      <c r="N218" s="5">
        <v>1.3726838119723084E-3</v>
      </c>
      <c r="O218" s="5">
        <v>-1.251564618941714E-3</v>
      </c>
      <c r="P218" s="5">
        <v>3.934431304834618E-3</v>
      </c>
      <c r="Q218" s="5">
        <v>4.0966874173298251E-3</v>
      </c>
      <c r="R218" s="5">
        <v>3.6663652435779959E-3</v>
      </c>
      <c r="S218" s="5">
        <v>4.2774278477795136E-3</v>
      </c>
      <c r="T218" s="5">
        <v>-2.6350476380048171E-3</v>
      </c>
      <c r="U218" s="5">
        <v>1.7361115471761224E-3</v>
      </c>
      <c r="V218" s="5">
        <v>-9.0992438551138477E-3</v>
      </c>
      <c r="W218" s="5">
        <v>1.3670542115331585E-3</v>
      </c>
      <c r="X218" s="5">
        <v>2.2825635250711684E-4</v>
      </c>
      <c r="AZ218" s="3" t="s">
        <v>224</v>
      </c>
      <c r="BA218" s="3">
        <v>213</v>
      </c>
      <c r="BB218" s="3">
        <v>0.96617571205984765</v>
      </c>
      <c r="BC218" s="3">
        <v>0.96583882953268474</v>
      </c>
      <c r="BD218" s="3">
        <v>0.88900182958683327</v>
      </c>
      <c r="BE218" s="3">
        <v>0.47638566426350804</v>
      </c>
      <c r="BG218" s="3">
        <v>1.0915586849513412E-2</v>
      </c>
      <c r="BH218" s="3">
        <v>9.1514298115612409E-3</v>
      </c>
      <c r="BI218" s="3">
        <v>2.530413746826235E-3</v>
      </c>
      <c r="BJ218" s="3">
        <v>-8.9960096578464155E-3</v>
      </c>
    </row>
    <row r="219" spans="1:62" x14ac:dyDescent="0.2">
      <c r="A219" s="3" t="s">
        <v>227</v>
      </c>
      <c r="B219" s="3">
        <v>72.900000000000006</v>
      </c>
      <c r="C219" s="3">
        <v>79.849999999999994</v>
      </c>
      <c r="D219" s="3">
        <v>15.28</v>
      </c>
      <c r="E219" s="3">
        <v>61.15</v>
      </c>
      <c r="F219" s="3">
        <v>54.65</v>
      </c>
      <c r="G219" s="3">
        <v>164</v>
      </c>
      <c r="H219" s="3">
        <v>37.9</v>
      </c>
      <c r="I219" s="3">
        <v>115.3</v>
      </c>
      <c r="J219" s="3">
        <v>10.94</v>
      </c>
      <c r="K219" s="3">
        <v>73.2</v>
      </c>
      <c r="L219" s="3">
        <v>26725.679688</v>
      </c>
      <c r="N219" s="5">
        <v>6.1538655743786919E-3</v>
      </c>
      <c r="O219" s="5">
        <v>1.8767600128599682E-3</v>
      </c>
      <c r="P219" s="5">
        <v>1.3080446600155504E-3</v>
      </c>
      <c r="Q219" s="5">
        <v>4.0799730199152506E-3</v>
      </c>
      <c r="R219" s="5">
        <v>2.7409793314223663E-3</v>
      </c>
      <c r="S219" s="5">
        <v>7.2904332626793078E-3</v>
      </c>
      <c r="T219" s="5">
        <v>-1.3201322049232189E-3</v>
      </c>
      <c r="U219" s="5">
        <v>8.6692679898625613E-4</v>
      </c>
      <c r="V219" s="5">
        <v>3.649639087549339E-3</v>
      </c>
      <c r="W219" s="5">
        <v>-1.3670542115331585E-3</v>
      </c>
      <c r="X219" s="5">
        <v>2.261911113524917E-3</v>
      </c>
      <c r="AZ219" s="3" t="s">
        <v>225</v>
      </c>
      <c r="BA219" s="3">
        <v>214</v>
      </c>
      <c r="BB219" s="3">
        <v>0.97677985689855884</v>
      </c>
      <c r="BC219" s="3">
        <v>0.97471820330379499</v>
      </c>
      <c r="BD219" s="3">
        <v>0.89125422057609771</v>
      </c>
      <c r="BE219" s="3">
        <v>0.47211931306751648</v>
      </c>
      <c r="BG219" s="3">
        <v>-8.3655076167919694E-3</v>
      </c>
      <c r="BH219" s="3">
        <v>-7.6065026191992728E-3</v>
      </c>
      <c r="BI219" s="3">
        <v>-7.1785455861855668E-3</v>
      </c>
      <c r="BJ219" s="3">
        <v>-4.9105024175959411E-3</v>
      </c>
    </row>
    <row r="220" spans="1:62" x14ac:dyDescent="0.2">
      <c r="A220" s="3" t="s">
        <v>228</v>
      </c>
      <c r="B220" s="3">
        <v>73.349999999999994</v>
      </c>
      <c r="C220" s="3">
        <v>80</v>
      </c>
      <c r="D220" s="3">
        <v>15.3</v>
      </c>
      <c r="E220" s="3">
        <v>61.4</v>
      </c>
      <c r="F220" s="3">
        <v>54.8</v>
      </c>
      <c r="G220" s="3">
        <v>165.2</v>
      </c>
      <c r="H220" s="3">
        <v>37.85</v>
      </c>
      <c r="I220" s="3">
        <v>115.4</v>
      </c>
      <c r="J220" s="3">
        <v>10.98</v>
      </c>
      <c r="K220" s="3">
        <v>73.099999999999994</v>
      </c>
      <c r="L220" s="3">
        <v>26786.199218999998</v>
      </c>
      <c r="N220" s="5">
        <v>-1.580245869021013E-2</v>
      </c>
      <c r="O220" s="5">
        <v>-3.1298930089276311E-3</v>
      </c>
      <c r="P220" s="5">
        <v>-5.2424759648501684E-3</v>
      </c>
      <c r="Q220" s="5">
        <v>-3.2626456348161526E-3</v>
      </c>
      <c r="R220" s="5">
        <v>-1.1932220506970292E-2</v>
      </c>
      <c r="S220" s="5">
        <v>1.8143337302394258E-3</v>
      </c>
      <c r="T220" s="5">
        <v>-6.6269294876089013E-3</v>
      </c>
      <c r="U220" s="5">
        <v>-4.3421692192895378E-3</v>
      </c>
      <c r="V220" s="5">
        <v>-3.649639087549339E-3</v>
      </c>
      <c r="W220" s="5">
        <v>-2.7397277411207455E-3</v>
      </c>
      <c r="X220" s="5">
        <v>-8.2271016486217263E-3</v>
      </c>
      <c r="AZ220" s="3" t="s">
        <v>226</v>
      </c>
      <c r="BA220" s="3">
        <v>215</v>
      </c>
      <c r="BB220" s="3">
        <v>0.96864268082436678</v>
      </c>
      <c r="BC220" s="3">
        <v>0.96733213342974922</v>
      </c>
      <c r="BD220" s="3">
        <v>0.88487922051518153</v>
      </c>
      <c r="BE220" s="3">
        <v>0.46980665284820639</v>
      </c>
      <c r="BG220" s="3">
        <v>6.5430235719335719E-4</v>
      </c>
      <c r="BH220" s="3">
        <v>1.2839013667478444E-3</v>
      </c>
      <c r="BI220" s="3">
        <v>1.7488783056659324E-3</v>
      </c>
      <c r="BJ220" s="3">
        <v>3.400596249205079E-3</v>
      </c>
    </row>
    <row r="221" spans="1:62" x14ac:dyDescent="0.2">
      <c r="A221" s="3" t="s">
        <v>229</v>
      </c>
      <c r="B221" s="3">
        <v>72.2</v>
      </c>
      <c r="C221" s="3">
        <v>79.75</v>
      </c>
      <c r="D221" s="3">
        <v>15.22</v>
      </c>
      <c r="E221" s="3">
        <v>61.2</v>
      </c>
      <c r="F221" s="3">
        <v>54.15</v>
      </c>
      <c r="G221" s="3">
        <v>165.5</v>
      </c>
      <c r="H221" s="3">
        <v>37.6</v>
      </c>
      <c r="I221" s="3">
        <v>114.9</v>
      </c>
      <c r="J221" s="3">
        <v>10.94</v>
      </c>
      <c r="K221" s="3">
        <v>72.900000000000006</v>
      </c>
      <c r="L221" s="3">
        <v>26566.730468999998</v>
      </c>
      <c r="N221" s="5">
        <v>8.2759093038591303E-3</v>
      </c>
      <c r="O221" s="5">
        <v>1.4317082399492698E-2</v>
      </c>
      <c r="P221" s="5">
        <v>1.305501570164358E-2</v>
      </c>
      <c r="Q221" s="5">
        <v>1.056490932021692E-2</v>
      </c>
      <c r="R221" s="5">
        <v>3.6866401202186871E-3</v>
      </c>
      <c r="S221" s="5">
        <v>1.260899323086484E-2</v>
      </c>
      <c r="T221" s="5">
        <v>1.0582109330536937E-2</v>
      </c>
      <c r="U221" s="5">
        <v>8.6994350854041613E-4</v>
      </c>
      <c r="V221" s="5">
        <v>1.6319491828601151E-2</v>
      </c>
      <c r="W221" s="5">
        <v>1.7675511158722124E-2</v>
      </c>
      <c r="X221" s="5">
        <v>8.6656641911222465E-3</v>
      </c>
      <c r="AZ221" s="3" t="s">
        <v>227</v>
      </c>
      <c r="BA221" s="3">
        <v>216</v>
      </c>
      <c r="BB221" s="3">
        <v>0.96927667340250911</v>
      </c>
      <c r="BC221" s="3">
        <v>0.96857489009573616</v>
      </c>
      <c r="BD221" s="3">
        <v>0.88642812061117726</v>
      </c>
      <c r="BE221" s="3">
        <v>0.47140699510647055</v>
      </c>
      <c r="BG221" s="3">
        <v>2.4751834082323565E-3</v>
      </c>
      <c r="BH221" s="3">
        <v>2.6011361919139539E-3</v>
      </c>
      <c r="BI221" s="3">
        <v>2.3544606175538996E-3</v>
      </c>
      <c r="BJ221" s="3">
        <v>2.3516057382991784E-3</v>
      </c>
    </row>
    <row r="222" spans="1:62" x14ac:dyDescent="0.2">
      <c r="A222" s="3" t="s">
        <v>230</v>
      </c>
      <c r="B222" s="3">
        <v>72.8</v>
      </c>
      <c r="C222" s="3">
        <v>80.900000000000006</v>
      </c>
      <c r="D222" s="3">
        <v>15.42</v>
      </c>
      <c r="E222" s="3">
        <v>61.85</v>
      </c>
      <c r="F222" s="3">
        <v>54.35</v>
      </c>
      <c r="G222" s="3">
        <v>167.6</v>
      </c>
      <c r="H222" s="3">
        <v>38</v>
      </c>
      <c r="I222" s="3">
        <v>115</v>
      </c>
      <c r="J222" s="3">
        <v>11.12</v>
      </c>
      <c r="K222" s="3">
        <v>74.2</v>
      </c>
      <c r="L222" s="3">
        <v>26797.949218999998</v>
      </c>
      <c r="N222" s="5">
        <v>-8.2759093038591303E-3</v>
      </c>
      <c r="O222" s="5">
        <v>7.3891961823706609E-3</v>
      </c>
      <c r="P222" s="5">
        <v>-7.8125397367934113E-3</v>
      </c>
      <c r="Q222" s="5">
        <v>-3.2388692281442033E-3</v>
      </c>
      <c r="R222" s="5">
        <v>7.3327551293917992E-3</v>
      </c>
      <c r="S222" s="5">
        <v>-2.3894873973810959E-3</v>
      </c>
      <c r="T222" s="5">
        <v>1.3149245813091071E-3</v>
      </c>
      <c r="U222" s="5">
        <v>-1.7406444777838814E-3</v>
      </c>
      <c r="V222" s="5">
        <v>5.3811789045168368E-3</v>
      </c>
      <c r="W222" s="5">
        <v>-1.1521645584343432E-2</v>
      </c>
      <c r="X222" s="5">
        <v>-4.8838688350141268E-3</v>
      </c>
      <c r="AZ222" s="3" t="s">
        <v>228</v>
      </c>
      <c r="BA222" s="3">
        <v>217</v>
      </c>
      <c r="BB222" s="3">
        <v>0.97167878254646733</v>
      </c>
      <c r="BC222" s="3">
        <v>0.97109756478481146</v>
      </c>
      <c r="BD222" s="3">
        <v>0.88851763959125474</v>
      </c>
      <c r="BE222" s="3">
        <v>0.47251686297559353</v>
      </c>
      <c r="BG222" s="3">
        <v>-5.528004235162285E-3</v>
      </c>
      <c r="BH222" s="3">
        <v>-5.9247143505826716E-3</v>
      </c>
      <c r="BI222" s="3">
        <v>-8.5364343714594004E-3</v>
      </c>
      <c r="BJ222" s="3">
        <v>-1.3102010853063062E-2</v>
      </c>
    </row>
    <row r="223" spans="1:62" x14ac:dyDescent="0.2">
      <c r="A223" s="3" t="s">
        <v>231</v>
      </c>
      <c r="B223" s="3">
        <v>72.2</v>
      </c>
      <c r="C223" s="3">
        <v>81.5</v>
      </c>
      <c r="D223" s="3">
        <v>15.3</v>
      </c>
      <c r="E223" s="3">
        <v>61.65</v>
      </c>
      <c r="F223" s="3">
        <v>54.75</v>
      </c>
      <c r="G223" s="3">
        <v>167.2</v>
      </c>
      <c r="H223" s="3">
        <v>38.049999999999997</v>
      </c>
      <c r="I223" s="3">
        <v>114.8</v>
      </c>
      <c r="J223" s="3">
        <v>11.18</v>
      </c>
      <c r="K223" s="3">
        <v>73.349999999999994</v>
      </c>
      <c r="L223" s="3">
        <v>26667.390625</v>
      </c>
      <c r="N223" s="5">
        <v>-4.8594333737472795E-3</v>
      </c>
      <c r="O223" s="5">
        <v>0</v>
      </c>
      <c r="P223" s="5">
        <v>3.9138993211360606E-3</v>
      </c>
      <c r="Q223" s="5">
        <v>-2.297065723958891E-2</v>
      </c>
      <c r="R223" s="5">
        <v>1.1802225056627869E-2</v>
      </c>
      <c r="S223" s="5">
        <v>-7.2029122940575618E-3</v>
      </c>
      <c r="T223" s="5">
        <v>7.8534435055703788E-3</v>
      </c>
      <c r="U223" s="5">
        <v>1.7406444777838814E-3</v>
      </c>
      <c r="V223" s="5">
        <v>-7.1813594086647115E-3</v>
      </c>
      <c r="W223" s="5">
        <v>1.8906707681805024E-2</v>
      </c>
      <c r="X223" s="5">
        <v>8.359823974389613E-3</v>
      </c>
      <c r="AZ223" s="3" t="s">
        <v>229</v>
      </c>
      <c r="BA223" s="3">
        <v>218</v>
      </c>
      <c r="BB223" s="3">
        <v>0.96632215748535477</v>
      </c>
      <c r="BC223" s="3">
        <v>0.9653610993466889</v>
      </c>
      <c r="BD223" s="3">
        <v>0.88096514860770481</v>
      </c>
      <c r="BE223" s="3">
        <v>0.46636632211976775</v>
      </c>
      <c r="BG223" s="3">
        <v>1.0675196312571213E-2</v>
      </c>
      <c r="BH223" s="3">
        <v>1.038130548482025E-2</v>
      </c>
      <c r="BI223" s="3">
        <v>8.7113214347310786E-3</v>
      </c>
      <c r="BJ223" s="3">
        <v>5.8728264478740133E-3</v>
      </c>
    </row>
    <row r="224" spans="1:62" x14ac:dyDescent="0.2">
      <c r="A224" s="3" t="s">
        <v>232</v>
      </c>
      <c r="B224" s="3">
        <v>71.849999999999994</v>
      </c>
      <c r="C224" s="3">
        <v>81.5</v>
      </c>
      <c r="D224" s="3">
        <v>15.36</v>
      </c>
      <c r="E224" s="3">
        <v>60.25</v>
      </c>
      <c r="F224" s="3">
        <v>55.4</v>
      </c>
      <c r="G224" s="3">
        <v>166</v>
      </c>
      <c r="H224" s="3">
        <v>38.35</v>
      </c>
      <c r="I224" s="3">
        <v>115</v>
      </c>
      <c r="J224" s="3">
        <v>11.1</v>
      </c>
      <c r="K224" s="3">
        <v>74.75</v>
      </c>
      <c r="L224" s="3">
        <v>26891.259765999999</v>
      </c>
      <c r="N224" s="5">
        <v>6.9565220196743383E-4</v>
      </c>
      <c r="O224" s="5">
        <v>6.1330882020627087E-4</v>
      </c>
      <c r="P224" s="5">
        <v>-1.3029317804158502E-3</v>
      </c>
      <c r="Q224" s="5">
        <v>-1.3366949233972747E-2</v>
      </c>
      <c r="R224" s="5">
        <v>0</v>
      </c>
      <c r="S224" s="5">
        <v>-1.0902591338215473E-2</v>
      </c>
      <c r="T224" s="5">
        <v>-1.3046316266649427E-3</v>
      </c>
      <c r="U224" s="5">
        <v>6.9324367756449234E-3</v>
      </c>
      <c r="V224" s="5">
        <v>1.8001805041478747E-3</v>
      </c>
      <c r="W224" s="5">
        <v>-1.6183765223349411E-2</v>
      </c>
      <c r="X224" s="5">
        <v>-3.8935911916961885E-3</v>
      </c>
      <c r="AZ224" s="3" t="s">
        <v>230</v>
      </c>
      <c r="BA224" s="3">
        <v>219</v>
      </c>
      <c r="BB224" s="3">
        <v>0.97669309361830281</v>
      </c>
      <c r="BC224" s="3">
        <v>0.97543500750800316</v>
      </c>
      <c r="BD224" s="3">
        <v>0.88867304342057152</v>
      </c>
      <c r="BE224" s="3">
        <v>0.46911326886626337</v>
      </c>
      <c r="BG224" s="3">
        <v>-1.1217226412380717E-3</v>
      </c>
      <c r="BH224" s="3">
        <v>-8.8870416078400821E-4</v>
      </c>
      <c r="BI224" s="3">
        <v>3.099272052965521E-3</v>
      </c>
      <c r="BJ224" s="3">
        <v>8.3509946439520588E-3</v>
      </c>
    </row>
    <row r="225" spans="1:62" x14ac:dyDescent="0.2">
      <c r="A225" s="3" t="s">
        <v>233</v>
      </c>
      <c r="B225" s="3">
        <v>71.900000000000006</v>
      </c>
      <c r="C225" s="3">
        <v>81.55</v>
      </c>
      <c r="D225" s="3">
        <v>15.34</v>
      </c>
      <c r="E225" s="3">
        <v>59.45</v>
      </c>
      <c r="F225" s="3">
        <v>55.4</v>
      </c>
      <c r="G225" s="3">
        <v>164.2</v>
      </c>
      <c r="H225" s="3">
        <v>38.299999999999997</v>
      </c>
      <c r="I225" s="3">
        <v>115.8</v>
      </c>
      <c r="J225" s="3">
        <v>11.12</v>
      </c>
      <c r="K225" s="3">
        <v>73.55</v>
      </c>
      <c r="L225" s="3">
        <v>26786.759765999999</v>
      </c>
      <c r="N225" s="5">
        <v>0</v>
      </c>
      <c r="O225" s="5">
        <v>2.4494807103394578E-3</v>
      </c>
      <c r="P225" s="5">
        <v>-6.5402456806098463E-3</v>
      </c>
      <c r="Q225" s="5">
        <v>-4.2140812468307587E-3</v>
      </c>
      <c r="R225" s="5">
        <v>8.0899317619715916E-3</v>
      </c>
      <c r="S225" s="5">
        <v>-8.562743449887833E-3</v>
      </c>
      <c r="T225" s="5">
        <v>9.0968788468308581E-3</v>
      </c>
      <c r="U225" s="5">
        <v>6.8847087774965843E-3</v>
      </c>
      <c r="V225" s="5">
        <v>-3.6036075032983561E-3</v>
      </c>
      <c r="W225" s="5">
        <v>-1.360544427559951E-3</v>
      </c>
      <c r="X225" s="5">
        <v>-4.4542214434208915E-3</v>
      </c>
      <c r="AZ225" s="3" t="s">
        <v>231</v>
      </c>
      <c r="BA225" s="3">
        <v>220</v>
      </c>
      <c r="BB225" s="3">
        <v>0.97559812909970889</v>
      </c>
      <c r="BC225" s="3">
        <v>0.9745685194410606</v>
      </c>
      <c r="BD225" s="3">
        <v>0.89143155542978703</v>
      </c>
      <c r="BE225" s="3">
        <v>0.47304723466304149</v>
      </c>
      <c r="BG225" s="3">
        <v>3.2589845820147831E-4</v>
      </c>
      <c r="BH225" s="3">
        <v>2.9560708141895473E-4</v>
      </c>
      <c r="BI225" s="3">
        <v>6.7871165941282285E-3</v>
      </c>
      <c r="BJ225" s="3">
        <v>1.5170569998638417E-2</v>
      </c>
    </row>
    <row r="226" spans="1:62" x14ac:dyDescent="0.2">
      <c r="A226" s="3" t="s">
        <v>234</v>
      </c>
      <c r="B226" s="3">
        <v>71.900000000000006</v>
      </c>
      <c r="C226" s="3">
        <v>81.75</v>
      </c>
      <c r="D226" s="3">
        <v>15.24</v>
      </c>
      <c r="E226" s="3">
        <v>59.2</v>
      </c>
      <c r="F226" s="3">
        <v>55.85</v>
      </c>
      <c r="G226" s="3">
        <v>162.80000000000001</v>
      </c>
      <c r="H226" s="3">
        <v>38.65</v>
      </c>
      <c r="I226" s="3">
        <v>116.6</v>
      </c>
      <c r="J226" s="3">
        <v>11.08</v>
      </c>
      <c r="K226" s="3">
        <v>73.45</v>
      </c>
      <c r="L226" s="3">
        <v>26667.710938</v>
      </c>
      <c r="N226" s="5">
        <v>8.310297133627742E-3</v>
      </c>
      <c r="O226" s="5">
        <v>-4.9049761123161062E-3</v>
      </c>
      <c r="P226" s="5">
        <v>-1.3131978249605325E-3</v>
      </c>
      <c r="Q226" s="5">
        <v>5.054770661623742E-3</v>
      </c>
      <c r="R226" s="5">
        <v>1.7889092427250119E-3</v>
      </c>
      <c r="S226" s="5">
        <v>6.1237178505288981E-3</v>
      </c>
      <c r="T226" s="5">
        <v>1.5404669194986287E-2</v>
      </c>
      <c r="U226" s="5">
        <v>1.9533529780344949E-2</v>
      </c>
      <c r="V226" s="5">
        <v>1.4337163146406873E-2</v>
      </c>
      <c r="W226" s="5">
        <v>1.6875189518884781E-2</v>
      </c>
      <c r="X226" s="5">
        <v>8.9225902491048004E-3</v>
      </c>
      <c r="AZ226" s="3" t="s">
        <v>232</v>
      </c>
      <c r="BA226" s="3">
        <v>221</v>
      </c>
      <c r="BB226" s="3">
        <v>0.9759161268404789</v>
      </c>
      <c r="BC226" s="3">
        <v>0.97485665138155819</v>
      </c>
      <c r="BD226" s="3">
        <v>0.89750238373759827</v>
      </c>
      <c r="BE226" s="3">
        <v>0.48027834217672066</v>
      </c>
      <c r="BG226" s="3">
        <v>-2.9033492112466169E-3</v>
      </c>
      <c r="BH226" s="3">
        <v>-3.1458111542349322E-3</v>
      </c>
      <c r="BI226" s="3">
        <v>1.3979909627265252E-3</v>
      </c>
      <c r="BJ226" s="3">
        <v>6.3299491138535391E-3</v>
      </c>
    </row>
    <row r="227" spans="1:62" x14ac:dyDescent="0.2">
      <c r="A227" s="3" t="s">
        <v>235</v>
      </c>
      <c r="B227" s="3">
        <v>72.5</v>
      </c>
      <c r="C227" s="3">
        <v>81.349999999999994</v>
      </c>
      <c r="D227" s="3">
        <v>15.22</v>
      </c>
      <c r="E227" s="3">
        <v>59.5</v>
      </c>
      <c r="F227" s="3">
        <v>55.95</v>
      </c>
      <c r="G227" s="3">
        <v>163.80000000000001</v>
      </c>
      <c r="H227" s="3">
        <v>39.25</v>
      </c>
      <c r="I227" s="3">
        <v>118.9</v>
      </c>
      <c r="J227" s="3">
        <v>11.24</v>
      </c>
      <c r="K227" s="3">
        <v>74.7</v>
      </c>
      <c r="L227" s="3">
        <v>26906.720702999999</v>
      </c>
      <c r="N227" s="5">
        <v>4.1293933420112339E-3</v>
      </c>
      <c r="O227" s="5">
        <v>1.3431215340561131E-2</v>
      </c>
      <c r="P227" s="5">
        <v>1.305501570164358E-2</v>
      </c>
      <c r="Q227" s="5">
        <v>1.6792615197198657E-3</v>
      </c>
      <c r="R227" s="5">
        <v>5.3476063265947005E-3</v>
      </c>
      <c r="S227" s="5">
        <v>7.9051795071132247E-3</v>
      </c>
      <c r="T227" s="5">
        <v>3.8143720754706401E-3</v>
      </c>
      <c r="U227" s="5">
        <v>-2.5263171331113554E-3</v>
      </c>
      <c r="V227" s="5">
        <v>-1.7809443709944084E-3</v>
      </c>
      <c r="W227" s="5">
        <v>8.6638329337329623E-3</v>
      </c>
      <c r="X227" s="5">
        <v>7.185667475283708E-3</v>
      </c>
      <c r="AZ227" s="3" t="s">
        <v>233</v>
      </c>
      <c r="BA227" s="3">
        <v>222</v>
      </c>
      <c r="BB227" s="3">
        <v>0.97308681075714465</v>
      </c>
      <c r="BC227" s="3">
        <v>0.97179475505275015</v>
      </c>
      <c r="BD227" s="3">
        <v>0.89875796139771036</v>
      </c>
      <c r="BE227" s="3">
        <v>0.48332812193525243</v>
      </c>
      <c r="BG227" s="3">
        <v>4.2569343694918646E-4</v>
      </c>
      <c r="BH227" s="3">
        <v>4.7192864709429821E-4</v>
      </c>
      <c r="BI227" s="3">
        <v>3.0711413723776143E-3</v>
      </c>
      <c r="BJ227" s="3">
        <v>6.6022187971519486E-3</v>
      </c>
    </row>
    <row r="228" spans="1:62" x14ac:dyDescent="0.2">
      <c r="A228" s="3" t="s">
        <v>236</v>
      </c>
      <c r="B228" s="3">
        <v>72.8</v>
      </c>
      <c r="C228" s="3">
        <v>82.45</v>
      </c>
      <c r="D228" s="3">
        <v>15.42</v>
      </c>
      <c r="E228" s="3">
        <v>59.6</v>
      </c>
      <c r="F228" s="3">
        <v>56.25</v>
      </c>
      <c r="G228" s="3">
        <v>165.1</v>
      </c>
      <c r="H228" s="3">
        <v>39.4</v>
      </c>
      <c r="I228" s="3">
        <v>118.6</v>
      </c>
      <c r="J228" s="3">
        <v>11.22</v>
      </c>
      <c r="K228" s="3">
        <v>75.349999999999994</v>
      </c>
      <c r="L228" s="3">
        <v>27100.759765999999</v>
      </c>
      <c r="N228" s="5">
        <v>1.0249491844806613E-2</v>
      </c>
      <c r="O228" s="5">
        <v>1.0256500167189486E-2</v>
      </c>
      <c r="P228" s="5">
        <v>5.1746557900176349E-3</v>
      </c>
      <c r="Q228" s="5">
        <v>8.3542674698575681E-3</v>
      </c>
      <c r="R228" s="5">
        <v>6.2029441246078676E-3</v>
      </c>
      <c r="S228" s="5">
        <v>1.6221443107023781E-2</v>
      </c>
      <c r="T228" s="5">
        <v>6.3251317769688065E-3</v>
      </c>
      <c r="U228" s="5">
        <v>9.2321260003025429E-3</v>
      </c>
      <c r="V228" s="5">
        <v>8.8731726804862632E-3</v>
      </c>
      <c r="W228" s="5">
        <v>7.272759329080003E-3</v>
      </c>
      <c r="X228" s="5">
        <v>1.6342792379305138E-2</v>
      </c>
      <c r="AZ228" s="3" t="s">
        <v>234</v>
      </c>
      <c r="BA228" s="3">
        <v>223</v>
      </c>
      <c r="BB228" s="3">
        <v>0.97350113560749374</v>
      </c>
      <c r="BC228" s="3">
        <v>0.97225348107121634</v>
      </c>
      <c r="BD228" s="3">
        <v>0.90152241700085922</v>
      </c>
      <c r="BE228" s="3">
        <v>0.4865297171334873</v>
      </c>
      <c r="BG228" s="3">
        <v>8.1757406511522683E-3</v>
      </c>
      <c r="BH228" s="3">
        <v>6.5976769056586594E-3</v>
      </c>
      <c r="BI228" s="3">
        <v>5.5533794105713796E-4</v>
      </c>
      <c r="BJ228" s="3">
        <v>-8.9420539255234965E-3</v>
      </c>
    </row>
    <row r="229" spans="1:62" x14ac:dyDescent="0.2">
      <c r="A229" s="3" t="s">
        <v>237</v>
      </c>
      <c r="B229" s="3">
        <v>73.55</v>
      </c>
      <c r="C229" s="3">
        <v>83.3</v>
      </c>
      <c r="D229" s="3">
        <v>15.5</v>
      </c>
      <c r="E229" s="3">
        <v>60.1</v>
      </c>
      <c r="F229" s="3">
        <v>56.6</v>
      </c>
      <c r="G229" s="3">
        <v>167.8</v>
      </c>
      <c r="H229" s="3">
        <v>39.65</v>
      </c>
      <c r="I229" s="3">
        <v>119.7</v>
      </c>
      <c r="J229" s="3">
        <v>11.32</v>
      </c>
      <c r="K229" s="3">
        <v>75.900000000000006</v>
      </c>
      <c r="L229" s="3">
        <v>27547.300781000002</v>
      </c>
      <c r="N229" s="5">
        <v>6.7750936663610872E-3</v>
      </c>
      <c r="O229" s="5">
        <v>-6.0042031224405434E-4</v>
      </c>
      <c r="P229" s="5">
        <v>-3.878479328570883E-3</v>
      </c>
      <c r="Q229" s="5">
        <v>0</v>
      </c>
      <c r="R229" s="5">
        <v>-1.7683470567417814E-3</v>
      </c>
      <c r="S229" s="5">
        <v>-2.3866359777313662E-3</v>
      </c>
      <c r="T229" s="5">
        <v>1.2531492311913972E-2</v>
      </c>
      <c r="U229" s="5">
        <v>6.6611403667815594E-3</v>
      </c>
      <c r="V229" s="5">
        <v>1.4035318116383699E-2</v>
      </c>
      <c r="W229" s="5">
        <v>2.6315804660557163E-3</v>
      </c>
      <c r="X229" s="5">
        <v>4.928414182394647E-3</v>
      </c>
      <c r="AZ229" s="3" t="s">
        <v>235</v>
      </c>
      <c r="BA229" s="3">
        <v>224</v>
      </c>
      <c r="BB229" s="3">
        <v>0.98149285300458289</v>
      </c>
      <c r="BC229" s="3">
        <v>0.97868930280034905</v>
      </c>
      <c r="BD229" s="3">
        <v>0.90202320564433014</v>
      </c>
      <c r="BE229" s="3">
        <v>0.48219853585497152</v>
      </c>
      <c r="BG229" s="3">
        <v>5.2581082242003536E-3</v>
      </c>
      <c r="BH229" s="3">
        <v>5.9026951084947508E-3</v>
      </c>
      <c r="BI229" s="3">
        <v>8.8073611593103007E-3</v>
      </c>
      <c r="BJ229" s="3">
        <v>1.3000429175780814E-2</v>
      </c>
    </row>
    <row r="230" spans="1:62" x14ac:dyDescent="0.2">
      <c r="A230" s="3" t="s">
        <v>238</v>
      </c>
      <c r="B230" s="3">
        <v>74.05</v>
      </c>
      <c r="C230" s="3">
        <v>83.25</v>
      </c>
      <c r="D230" s="3">
        <v>15.44</v>
      </c>
      <c r="E230" s="3">
        <v>60.1</v>
      </c>
      <c r="F230" s="3">
        <v>56.5</v>
      </c>
      <c r="G230" s="3">
        <v>167.4</v>
      </c>
      <c r="H230" s="3">
        <v>40.15</v>
      </c>
      <c r="I230" s="3">
        <v>120.5</v>
      </c>
      <c r="J230" s="3">
        <v>11.48</v>
      </c>
      <c r="K230" s="3">
        <v>76.099999999999994</v>
      </c>
      <c r="L230" s="3">
        <v>27683.400390999999</v>
      </c>
      <c r="N230" s="5">
        <v>9.4086715569883239E-3</v>
      </c>
      <c r="O230" s="5">
        <v>6.0042031224405434E-4</v>
      </c>
      <c r="P230" s="5">
        <v>-6.4977486575199528E-3</v>
      </c>
      <c r="Q230" s="5">
        <v>4.1511060023786683E-3</v>
      </c>
      <c r="R230" s="5">
        <v>-2.658397666610135E-3</v>
      </c>
      <c r="S230" s="5">
        <v>2.3866359777313662E-3</v>
      </c>
      <c r="T230" s="5">
        <v>2.4875634718015682E-3</v>
      </c>
      <c r="U230" s="5">
        <v>6.6170630192949886E-3</v>
      </c>
      <c r="V230" s="5">
        <v>1.2121360532344916E-2</v>
      </c>
      <c r="W230" s="5">
        <v>-1.3149245813091071E-3</v>
      </c>
      <c r="X230" s="5">
        <v>1.892736449473631E-4</v>
      </c>
      <c r="AZ230" s="3" t="s">
        <v>236</v>
      </c>
      <c r="BA230" s="3">
        <v>225</v>
      </c>
      <c r="BB230" s="3">
        <v>0.9866672404699488</v>
      </c>
      <c r="BC230" s="3">
        <v>0.9844832906097335</v>
      </c>
      <c r="BD230" s="3">
        <v>0.91000273751937311</v>
      </c>
      <c r="BE230" s="3">
        <v>0.48850824939359239</v>
      </c>
      <c r="BG230" s="3">
        <v>8.6984237156963601E-3</v>
      </c>
      <c r="BH230" s="3">
        <v>8.5285591855232372E-3</v>
      </c>
      <c r="BI230" s="3">
        <v>7.3215801102026468E-3</v>
      </c>
      <c r="BJ230" s="3">
        <v>5.4716300127560791E-3</v>
      </c>
    </row>
    <row r="231" spans="1:62" x14ac:dyDescent="0.2">
      <c r="A231" s="3" t="s">
        <v>239</v>
      </c>
      <c r="B231" s="3">
        <v>74.75</v>
      </c>
      <c r="C231" s="3">
        <v>83.3</v>
      </c>
      <c r="D231" s="3">
        <v>15.34</v>
      </c>
      <c r="E231" s="3">
        <v>60.35</v>
      </c>
      <c r="F231" s="3">
        <v>56.35</v>
      </c>
      <c r="G231" s="3">
        <v>167.8</v>
      </c>
      <c r="H231" s="3">
        <v>40.25</v>
      </c>
      <c r="I231" s="3">
        <v>121.3</v>
      </c>
      <c r="J231" s="3">
        <v>11.62</v>
      </c>
      <c r="K231" s="3">
        <v>76</v>
      </c>
      <c r="L231" s="3">
        <v>27688.640625</v>
      </c>
      <c r="N231" s="5">
        <v>6.0020186849980561E-3</v>
      </c>
      <c r="O231" s="5">
        <v>3.5949709178586531E-3</v>
      </c>
      <c r="P231" s="5">
        <v>1.1665718815962567E-2</v>
      </c>
      <c r="Q231" s="5">
        <v>-2.4885952287645452E-3</v>
      </c>
      <c r="R231" s="5">
        <v>6.1919702479213967E-3</v>
      </c>
      <c r="S231" s="5">
        <v>1.9475386865041244E-2</v>
      </c>
      <c r="T231" s="5">
        <v>7.4257766968495176E-3</v>
      </c>
      <c r="U231" s="5">
        <v>8.2102267431221065E-3</v>
      </c>
      <c r="V231" s="5">
        <v>8.5690327251013443E-3</v>
      </c>
      <c r="W231" s="5">
        <v>7.8637364602140991E-3</v>
      </c>
      <c r="X231" s="5">
        <v>5.7112735231434897E-3</v>
      </c>
      <c r="AZ231" s="3" t="s">
        <v>237</v>
      </c>
      <c r="BA231" s="3">
        <v>226</v>
      </c>
      <c r="BB231" s="3">
        <v>0.99528712555020094</v>
      </c>
      <c r="BC231" s="3">
        <v>0.99291542047003012</v>
      </c>
      <c r="BD231" s="3">
        <v>0.91668984568957068</v>
      </c>
      <c r="BE231" s="3">
        <v>0.49118851180761774</v>
      </c>
      <c r="BG231" s="3">
        <v>3.5731185507625511E-3</v>
      </c>
      <c r="BH231" s="3">
        <v>2.4072813271098963E-3</v>
      </c>
      <c r="BI231" s="3">
        <v>-4.4569584908196735E-4</v>
      </c>
      <c r="BJ231" s="3">
        <v>-5.6729798662633613E-3</v>
      </c>
    </row>
    <row r="232" spans="1:62" x14ac:dyDescent="0.2">
      <c r="A232" s="3" t="s">
        <v>240</v>
      </c>
      <c r="B232" s="3">
        <v>75.2</v>
      </c>
      <c r="C232" s="3">
        <v>83.6</v>
      </c>
      <c r="D232" s="3">
        <v>15.52</v>
      </c>
      <c r="E232" s="3">
        <v>60.2</v>
      </c>
      <c r="F232" s="3">
        <v>56.7</v>
      </c>
      <c r="G232" s="3">
        <v>171.1</v>
      </c>
      <c r="H232" s="3">
        <v>40.549999999999997</v>
      </c>
      <c r="I232" s="3">
        <v>122.3</v>
      </c>
      <c r="J232" s="3">
        <v>11.72</v>
      </c>
      <c r="K232" s="3">
        <v>76.599999999999994</v>
      </c>
      <c r="L232" s="3">
        <v>27847.230468999998</v>
      </c>
      <c r="N232" s="5">
        <v>-6.6511475681085841E-4</v>
      </c>
      <c r="O232" s="5">
        <v>1.7926506145196086E-3</v>
      </c>
      <c r="P232" s="5">
        <v>-6.464146619889366E-3</v>
      </c>
      <c r="Q232" s="5">
        <v>-2.4948037887835284E-3</v>
      </c>
      <c r="R232" s="5">
        <v>-9.7475295492541747E-3</v>
      </c>
      <c r="S232" s="5">
        <v>-6.4497438478854363E-3</v>
      </c>
      <c r="T232" s="5">
        <v>-2.6235108654345751E-2</v>
      </c>
      <c r="U232" s="5">
        <v>-1.3168914589640757E-2</v>
      </c>
      <c r="V232" s="5">
        <v>-1.8949748779662379E-2</v>
      </c>
      <c r="W232" s="5">
        <v>6.5252857127795494E-4</v>
      </c>
      <c r="X232" s="5">
        <v>-7.0665374903207123E-3</v>
      </c>
      <c r="AZ232" s="3" t="s">
        <v>238</v>
      </c>
      <c r="BA232" s="3">
        <v>227</v>
      </c>
      <c r="BB232" s="3">
        <v>0.99884976551891691</v>
      </c>
      <c r="BC232" s="3">
        <v>0.99530852650519186</v>
      </c>
      <c r="BD232" s="3">
        <v>0.91628137186475711</v>
      </c>
      <c r="BE232" s="3">
        <v>0.48840989823096825</v>
      </c>
      <c r="BG232" s="3">
        <v>2.734489939351643E-3</v>
      </c>
      <c r="BH232" s="3">
        <v>1.9021354120680916E-3</v>
      </c>
      <c r="BI232" s="3">
        <v>-1.4563679893599135E-3</v>
      </c>
      <c r="BJ232" s="3">
        <v>-6.7044114350656159E-3</v>
      </c>
    </row>
    <row r="233" spans="1:62" x14ac:dyDescent="0.2">
      <c r="A233" s="3" t="s">
        <v>241</v>
      </c>
      <c r="B233" s="3">
        <v>75.150000000000006</v>
      </c>
      <c r="C233" s="3">
        <v>83.75</v>
      </c>
      <c r="D233" s="3">
        <v>15.42</v>
      </c>
      <c r="E233" s="3">
        <v>60.05</v>
      </c>
      <c r="F233" s="3">
        <v>56.15</v>
      </c>
      <c r="G233" s="3">
        <v>170</v>
      </c>
      <c r="H233" s="3">
        <v>39.5</v>
      </c>
      <c r="I233" s="3">
        <v>120.7</v>
      </c>
      <c r="J233" s="3">
        <v>11.5</v>
      </c>
      <c r="K233" s="3">
        <v>76.650000000000006</v>
      </c>
      <c r="L233" s="3">
        <v>27651.140625</v>
      </c>
      <c r="N233" s="5">
        <v>-2.2200709980192634E-2</v>
      </c>
      <c r="O233" s="5">
        <v>-2.1726865515336868E-2</v>
      </c>
      <c r="P233" s="5">
        <v>-1.305501570164358E-2</v>
      </c>
      <c r="Q233" s="5">
        <v>-1.7640104620272545E-2</v>
      </c>
      <c r="R233" s="5">
        <v>-1.1643660432063996E-2</v>
      </c>
      <c r="S233" s="5">
        <v>-2.8641575963384014E-2</v>
      </c>
      <c r="T233" s="5">
        <v>-2.5642430613337375E-2</v>
      </c>
      <c r="U233" s="5">
        <v>-7.4809256808391567E-2</v>
      </c>
      <c r="V233" s="5">
        <v>-4.2635231644435834E-2</v>
      </c>
      <c r="W233" s="5">
        <v>-5.3596215301531025E-2</v>
      </c>
      <c r="X233" s="5">
        <v>-2.6554161670922838E-2</v>
      </c>
      <c r="AZ233" s="3" t="s">
        <v>239</v>
      </c>
      <c r="BA233" s="3">
        <v>228</v>
      </c>
      <c r="BB233" s="3">
        <v>1.0015848479771015</v>
      </c>
      <c r="BC233" s="3">
        <v>0.99720353981398591</v>
      </c>
      <c r="BD233" s="3">
        <v>0.91494790025390282</v>
      </c>
      <c r="BE233" s="3">
        <v>0.48514634963499625</v>
      </c>
      <c r="BG233" s="3">
        <v>7.7358178807312664E-3</v>
      </c>
      <c r="BH233" s="3">
        <v>7.329501028965851E-3</v>
      </c>
      <c r="BI233" s="3">
        <v>7.7341820383610982E-3</v>
      </c>
      <c r="BJ233" s="3">
        <v>7.1876148125833428E-3</v>
      </c>
    </row>
    <row r="234" spans="1:62" x14ac:dyDescent="0.2">
      <c r="A234" s="3" t="s">
        <v>242</v>
      </c>
      <c r="B234" s="3">
        <v>73.5</v>
      </c>
      <c r="C234" s="3">
        <v>81.95</v>
      </c>
      <c r="D234" s="3">
        <v>15.22</v>
      </c>
      <c r="E234" s="3">
        <v>59</v>
      </c>
      <c r="F234" s="3">
        <v>55.5</v>
      </c>
      <c r="G234" s="3">
        <v>165.2</v>
      </c>
      <c r="H234" s="3">
        <v>38.5</v>
      </c>
      <c r="I234" s="3">
        <v>112</v>
      </c>
      <c r="J234" s="3">
        <v>11.02</v>
      </c>
      <c r="K234" s="3">
        <v>72.650000000000006</v>
      </c>
      <c r="L234" s="3">
        <v>26926.550781000002</v>
      </c>
      <c r="N234" s="5">
        <v>4.0733253876359399E-3</v>
      </c>
      <c r="O234" s="5">
        <v>-3.0553033238813754E-3</v>
      </c>
      <c r="P234" s="5">
        <v>1.3131978249605325E-3</v>
      </c>
      <c r="Q234" s="5">
        <v>8.4709873765120847E-4</v>
      </c>
      <c r="R234" s="5">
        <v>5.3908486348763773E-3</v>
      </c>
      <c r="S234" s="5">
        <v>4.2283361095210026E-3</v>
      </c>
      <c r="T234" s="5">
        <v>-3.9037134804735807E-3</v>
      </c>
      <c r="U234" s="5">
        <v>8.9245878301991155E-4</v>
      </c>
      <c r="V234" s="5">
        <v>-1.8165309263977747E-3</v>
      </c>
      <c r="W234" s="5">
        <v>-4.1379369387994913E-3</v>
      </c>
      <c r="X234" s="5">
        <v>5.1388819788442675E-3</v>
      </c>
      <c r="AZ234" s="3" t="s">
        <v>240</v>
      </c>
      <c r="BA234" s="3">
        <v>229</v>
      </c>
      <c r="BB234" s="3">
        <v>1.0093629722407911</v>
      </c>
      <c r="BC234" s="3">
        <v>1.0045393954246442</v>
      </c>
      <c r="BD234" s="3">
        <v>0.92205170953614357</v>
      </c>
      <c r="BE234" s="3">
        <v>0.48864595657090709</v>
      </c>
      <c r="BG234" s="3">
        <v>-8.7535487228378658E-3</v>
      </c>
      <c r="BH234" s="3">
        <v>-7.7067283437240791E-3</v>
      </c>
      <c r="BI234" s="3">
        <v>-7.0987756038180805E-3</v>
      </c>
      <c r="BJ234" s="3">
        <v>-4.2599983778883743E-3</v>
      </c>
    </row>
    <row r="235" spans="1:62" x14ac:dyDescent="0.2">
      <c r="A235" s="3" t="s">
        <v>243</v>
      </c>
      <c r="B235" s="3">
        <v>73.8</v>
      </c>
      <c r="C235" s="3">
        <v>81.7</v>
      </c>
      <c r="D235" s="3">
        <v>15.24</v>
      </c>
      <c r="E235" s="3">
        <v>59.05</v>
      </c>
      <c r="F235" s="3">
        <v>55.8</v>
      </c>
      <c r="G235" s="3">
        <v>165.9</v>
      </c>
      <c r="H235" s="3">
        <v>38.35</v>
      </c>
      <c r="I235" s="3">
        <v>112.1</v>
      </c>
      <c r="J235" s="3">
        <v>11</v>
      </c>
      <c r="K235" s="3">
        <v>72.349999999999994</v>
      </c>
      <c r="L235" s="3">
        <v>27065.279297000001</v>
      </c>
      <c r="N235" s="5">
        <v>-1.5705341590134481E-2</v>
      </c>
      <c r="O235" s="5">
        <v>-1.5418128427564959E-2</v>
      </c>
      <c r="P235" s="5">
        <v>-1.4540903922511728E-2</v>
      </c>
      <c r="Q235" s="5">
        <v>-1.3640450197560661E-2</v>
      </c>
      <c r="R235" s="5">
        <v>-2.5409715525368082E-2</v>
      </c>
      <c r="S235" s="5">
        <v>-2.070719542660715E-2</v>
      </c>
      <c r="T235" s="5">
        <v>-2.9102582987696746E-2</v>
      </c>
      <c r="U235" s="5">
        <v>-2.4380440090233435E-2</v>
      </c>
      <c r="V235" s="5">
        <v>-5.0336814161593857E-2</v>
      </c>
      <c r="W235" s="5">
        <v>-3.8032752851678175E-2</v>
      </c>
      <c r="X235" s="5">
        <v>-1.8413956931890851E-2</v>
      </c>
      <c r="AZ235" s="3" t="s">
        <v>241</v>
      </c>
      <c r="BA235" s="3">
        <v>230</v>
      </c>
      <c r="BB235" s="3">
        <v>1.0005660227192119</v>
      </c>
      <c r="BC235" s="3">
        <v>0.99682743834272847</v>
      </c>
      <c r="BD235" s="3">
        <v>0.91552944877726639</v>
      </c>
      <c r="BE235" s="3">
        <v>0.48656875317146075</v>
      </c>
      <c r="BG235" s="3">
        <v>-3.1140592192254523E-2</v>
      </c>
      <c r="BH235" s="3">
        <v>-2.7589624065454045E-2</v>
      </c>
      <c r="BI235" s="3">
        <v>-1.6938182681789676E-2</v>
      </c>
      <c r="BJ235" s="3">
        <v>1.7513226252756642E-3</v>
      </c>
    </row>
    <row r="236" spans="1:62" x14ac:dyDescent="0.2">
      <c r="A236" s="3" t="s">
        <v>244</v>
      </c>
      <c r="B236" s="3">
        <v>72.650000000000006</v>
      </c>
      <c r="C236" s="3">
        <v>80.45</v>
      </c>
      <c r="D236" s="3">
        <v>15.02</v>
      </c>
      <c r="E236" s="3">
        <v>58.25</v>
      </c>
      <c r="F236" s="3">
        <v>54.4</v>
      </c>
      <c r="G236" s="3">
        <v>162.5</v>
      </c>
      <c r="H236" s="3">
        <v>37.25</v>
      </c>
      <c r="I236" s="3">
        <v>109.4</v>
      </c>
      <c r="J236" s="3">
        <v>10.46</v>
      </c>
      <c r="K236" s="3">
        <v>69.650000000000006</v>
      </c>
      <c r="L236" s="3">
        <v>26571.460938</v>
      </c>
      <c r="N236" s="5">
        <v>-1.7355520670752966E-2</v>
      </c>
      <c r="O236" s="5">
        <v>0</v>
      </c>
      <c r="P236" s="5">
        <v>-6.6800515603735455E-3</v>
      </c>
      <c r="Q236" s="5">
        <v>-6.0267078668605478E-3</v>
      </c>
      <c r="R236" s="5">
        <v>6.4132148347133544E-3</v>
      </c>
      <c r="S236" s="5">
        <v>-1.6754968437617812E-2</v>
      </c>
      <c r="T236" s="5">
        <v>-8.0862974313573588E-3</v>
      </c>
      <c r="U236" s="5">
        <v>-1.2879662863660712E-2</v>
      </c>
      <c r="V236" s="5">
        <v>-5.7526524894497832E-3</v>
      </c>
      <c r="W236" s="5">
        <v>-2.3239971128339754E-2</v>
      </c>
      <c r="X236" s="5">
        <v>-9.3684693349374015E-3</v>
      </c>
      <c r="AZ236" s="3" t="s">
        <v>242</v>
      </c>
      <c r="BA236" s="3">
        <v>231</v>
      </c>
      <c r="BB236" s="3">
        <v>0.9698879500170422</v>
      </c>
      <c r="BC236" s="3">
        <v>0.96970126517392785</v>
      </c>
      <c r="BD236" s="3">
        <v>0.90015263896489262</v>
      </c>
      <c r="BE236" s="3">
        <v>0.4874216386584746</v>
      </c>
      <c r="BG236" s="3">
        <v>3.9892104747848989E-4</v>
      </c>
      <c r="BH236" s="3">
        <v>8.2495002520103361E-4</v>
      </c>
      <c r="BI236" s="3">
        <v>2.1727686983334521E-3</v>
      </c>
      <c r="BJ236" s="3">
        <v>4.7034871057268779E-3</v>
      </c>
    </row>
    <row r="237" spans="1:62" x14ac:dyDescent="0.2">
      <c r="A237" s="3" t="s">
        <v>245</v>
      </c>
      <c r="B237" s="3">
        <v>71.400000000000006</v>
      </c>
      <c r="C237" s="3">
        <v>80.45</v>
      </c>
      <c r="D237" s="3">
        <v>14.92</v>
      </c>
      <c r="E237" s="3">
        <v>57.9</v>
      </c>
      <c r="F237" s="3">
        <v>54.75</v>
      </c>
      <c r="G237" s="3">
        <v>159.80000000000001</v>
      </c>
      <c r="H237" s="3">
        <v>36.950000000000003</v>
      </c>
      <c r="I237" s="3">
        <v>108</v>
      </c>
      <c r="J237" s="3">
        <v>10.4</v>
      </c>
      <c r="K237" s="3">
        <v>68.05</v>
      </c>
      <c r="L237" s="3">
        <v>26323.689452999999</v>
      </c>
      <c r="N237" s="5">
        <v>-6.3224657394878037E-3</v>
      </c>
      <c r="O237" s="5">
        <v>-2.4891114282672433E-3</v>
      </c>
      <c r="P237" s="5">
        <v>-1.3413818242016262E-3</v>
      </c>
      <c r="Q237" s="5">
        <v>-3.4602110648958018E-3</v>
      </c>
      <c r="R237" s="5">
        <v>-8.2531417567204279E-3</v>
      </c>
      <c r="S237" s="5">
        <v>-3.1338164161711646E-3</v>
      </c>
      <c r="T237" s="5">
        <v>-4.067802219325678E-3</v>
      </c>
      <c r="U237" s="5">
        <v>-5.5710450494554919E-3</v>
      </c>
      <c r="V237" s="5">
        <v>1.9212301778939178E-3</v>
      </c>
      <c r="W237" s="5">
        <v>5.1300955310304985E-3</v>
      </c>
      <c r="X237" s="5">
        <v>1.1284646826581479E-4</v>
      </c>
      <c r="AZ237" s="3" t="s">
        <v>243</v>
      </c>
      <c r="BA237" s="3">
        <v>232</v>
      </c>
      <c r="BB237" s="3">
        <v>0.97027493591727809</v>
      </c>
      <c r="BC237" s="3">
        <v>0.97050155030930618</v>
      </c>
      <c r="BD237" s="3">
        <v>0.9021105887582922</v>
      </c>
      <c r="BE237" s="3">
        <v>0.48971962007746506</v>
      </c>
      <c r="BG237" s="3">
        <v>-2.4829376807345045E-2</v>
      </c>
      <c r="BH237" s="3">
        <v>-2.3096559476502552E-2</v>
      </c>
      <c r="BI237" s="3">
        <v>-2.0839308460976966E-2</v>
      </c>
      <c r="BJ237" s="3">
        <v>-1.607869346001678E-2</v>
      </c>
    </row>
    <row r="238" spans="1:62" x14ac:dyDescent="0.2">
      <c r="A238" s="3" t="s">
        <v>246</v>
      </c>
      <c r="B238" s="3">
        <v>70.95</v>
      </c>
      <c r="C238" s="3">
        <v>80.25</v>
      </c>
      <c r="D238" s="3">
        <v>14.9</v>
      </c>
      <c r="E238" s="3">
        <v>57.7</v>
      </c>
      <c r="F238" s="3">
        <v>54.3</v>
      </c>
      <c r="G238" s="3">
        <v>159.30000000000001</v>
      </c>
      <c r="H238" s="3">
        <v>36.799999999999997</v>
      </c>
      <c r="I238" s="3">
        <v>107.4</v>
      </c>
      <c r="J238" s="3">
        <v>10.42</v>
      </c>
      <c r="K238" s="3">
        <v>68.400000000000006</v>
      </c>
      <c r="L238" s="3">
        <v>26326.660156000002</v>
      </c>
      <c r="N238" s="5">
        <v>1.4690715410003996E-2</v>
      </c>
      <c r="O238" s="5">
        <v>6.830203516924982E-3</v>
      </c>
      <c r="P238" s="5">
        <v>6.6889881507967708E-3</v>
      </c>
      <c r="Q238" s="5">
        <v>8.6281812233384159E-3</v>
      </c>
      <c r="R238" s="5">
        <v>1.1899453909741009E-2</v>
      </c>
      <c r="S238" s="5">
        <v>9.3721398288630908E-3</v>
      </c>
      <c r="T238" s="5">
        <v>1.7508864788343015E-2</v>
      </c>
      <c r="U238" s="5">
        <v>1.6620881236040219E-2</v>
      </c>
      <c r="V238" s="5">
        <v>1.5238390104932442E-2</v>
      </c>
      <c r="W238" s="5">
        <v>1.1628037995119023E-2</v>
      </c>
      <c r="X238" s="5">
        <v>1.3372949051523975E-2</v>
      </c>
      <c r="AZ238" s="3" t="s">
        <v>244</v>
      </c>
      <c r="BA238" s="3">
        <v>233</v>
      </c>
      <c r="BB238" s="3">
        <v>0.94648024009681431</v>
      </c>
      <c r="BC238" s="3">
        <v>0.94834317961892844</v>
      </c>
      <c r="BD238" s="3">
        <v>0.88350575714466117</v>
      </c>
      <c r="BE238" s="3">
        <v>0.48190853274328777</v>
      </c>
      <c r="BG238" s="3">
        <v>-8.5731107852533642E-3</v>
      </c>
      <c r="BH238" s="3">
        <v>-7.3525223992448249E-3</v>
      </c>
      <c r="BI238" s="3">
        <v>-1.6381134107915085E-5</v>
      </c>
      <c r="BJ238" s="3">
        <v>1.0395221707892421E-2</v>
      </c>
    </row>
    <row r="239" spans="1:62" x14ac:dyDescent="0.2">
      <c r="A239" s="3" t="s">
        <v>247</v>
      </c>
      <c r="B239" s="3">
        <v>72</v>
      </c>
      <c r="C239" s="3">
        <v>80.8</v>
      </c>
      <c r="D239" s="3">
        <v>15</v>
      </c>
      <c r="E239" s="3">
        <v>58.2</v>
      </c>
      <c r="F239" s="3">
        <v>54.95</v>
      </c>
      <c r="G239" s="3">
        <v>160.80000000000001</v>
      </c>
      <c r="H239" s="3">
        <v>37.450000000000003</v>
      </c>
      <c r="I239" s="3">
        <v>109.2</v>
      </c>
      <c r="J239" s="3">
        <v>10.58</v>
      </c>
      <c r="K239" s="3">
        <v>69.2</v>
      </c>
      <c r="L239" s="3">
        <v>26681.089843999998</v>
      </c>
      <c r="N239" s="5">
        <v>1.5846008450077775E-2</v>
      </c>
      <c r="O239" s="5">
        <v>6.7838681379965848E-3</v>
      </c>
      <c r="P239" s="5">
        <v>1.192857086527388E-2</v>
      </c>
      <c r="Q239" s="5">
        <v>1.1106478968893718E-2</v>
      </c>
      <c r="R239" s="5">
        <v>9.0580329467453424E-3</v>
      </c>
      <c r="S239" s="5">
        <v>1.8484814674103234E-2</v>
      </c>
      <c r="T239" s="5">
        <v>2.1136850309316557E-2</v>
      </c>
      <c r="U239" s="5">
        <v>1.4545711002378781E-2</v>
      </c>
      <c r="V239" s="5">
        <v>1.8727139050697783E-2</v>
      </c>
      <c r="W239" s="5">
        <v>1.3634943924845544E-2</v>
      </c>
      <c r="X239" s="5">
        <v>1.5349879310182502E-2</v>
      </c>
      <c r="AZ239" s="3" t="s">
        <v>245</v>
      </c>
      <c r="BA239" s="3">
        <v>234</v>
      </c>
      <c r="BB239" s="3">
        <v>0.93840064326804495</v>
      </c>
      <c r="BC239" s="3">
        <v>0.94139603595990518</v>
      </c>
      <c r="BD239" s="3">
        <v>0.88349128443690828</v>
      </c>
      <c r="BE239" s="3">
        <v>0.48694420691236706</v>
      </c>
      <c r="BG239" s="3">
        <v>-2.8815156163033845E-3</v>
      </c>
      <c r="BH239" s="3">
        <v>-3.3158870217384132E-3</v>
      </c>
      <c r="BI239" s="3">
        <v>-5.1275627670041429E-3</v>
      </c>
      <c r="BJ239" s="3">
        <v>-8.0296609118709616E-3</v>
      </c>
    </row>
    <row r="240" spans="1:62" x14ac:dyDescent="0.2">
      <c r="A240" s="3" t="s">
        <v>248</v>
      </c>
      <c r="B240" s="3">
        <v>73.150000000000006</v>
      </c>
      <c r="C240" s="3">
        <v>81.349999999999994</v>
      </c>
      <c r="D240" s="3">
        <v>15.18</v>
      </c>
      <c r="E240" s="3">
        <v>58.85</v>
      </c>
      <c r="F240" s="3">
        <v>55.45</v>
      </c>
      <c r="G240" s="3">
        <v>163.80000000000001</v>
      </c>
      <c r="H240" s="3">
        <v>38.25</v>
      </c>
      <c r="I240" s="3">
        <v>110.8</v>
      </c>
      <c r="J240" s="3">
        <v>10.78</v>
      </c>
      <c r="K240" s="3">
        <v>70.150000000000006</v>
      </c>
      <c r="L240" s="3">
        <v>27093.800781000002</v>
      </c>
      <c r="N240" s="5">
        <v>-3.4234884515207398E-3</v>
      </c>
      <c r="O240" s="5">
        <v>-6.7838681379965848E-3</v>
      </c>
      <c r="P240" s="5">
        <v>-3.9604012160969759E-3</v>
      </c>
      <c r="Q240" s="5">
        <v>-5.9650794684751318E-3</v>
      </c>
      <c r="R240" s="5">
        <v>4.4984331368622676E-3</v>
      </c>
      <c r="S240" s="5">
        <v>-4.8959706122069235E-3</v>
      </c>
      <c r="T240" s="5">
        <v>0</v>
      </c>
      <c r="U240" s="5">
        <v>9.0212004313805494E-4</v>
      </c>
      <c r="V240" s="5">
        <v>0</v>
      </c>
      <c r="W240" s="5">
        <v>6.3943379507263032E-3</v>
      </c>
      <c r="X240" s="5">
        <v>-7.5650048494502187E-3</v>
      </c>
      <c r="AZ240" s="3" t="s">
        <v>246</v>
      </c>
      <c r="BA240" s="3">
        <v>235</v>
      </c>
      <c r="BB240" s="3">
        <v>0.93570051925316666</v>
      </c>
      <c r="BC240" s="3">
        <v>0.93827964272131947</v>
      </c>
      <c r="BD240" s="3">
        <v>0.87897272192842479</v>
      </c>
      <c r="BE240" s="3">
        <v>0.48304986609009359</v>
      </c>
      <c r="BG240" s="3">
        <v>1.1963537452889472E-2</v>
      </c>
      <c r="BH240" s="3">
        <v>1.1368183034668307E-2</v>
      </c>
      <c r="BI240" s="3">
        <v>1.017435676810341E-2</v>
      </c>
      <c r="BJ240" s="3">
        <v>8.126875476706541E-3</v>
      </c>
    </row>
    <row r="241" spans="1:62" x14ac:dyDescent="0.2">
      <c r="A241" s="3" t="s">
        <v>249</v>
      </c>
      <c r="B241" s="3">
        <v>72.900000000000006</v>
      </c>
      <c r="C241" s="3">
        <v>80.8</v>
      </c>
      <c r="D241" s="3">
        <v>15.12</v>
      </c>
      <c r="E241" s="3">
        <v>58.5</v>
      </c>
      <c r="F241" s="3">
        <v>55.7</v>
      </c>
      <c r="G241" s="3">
        <v>163</v>
      </c>
      <c r="H241" s="3">
        <v>38.25</v>
      </c>
      <c r="I241" s="3">
        <v>110.9</v>
      </c>
      <c r="J241" s="3">
        <v>10.78</v>
      </c>
      <c r="K241" s="3">
        <v>70.599999999999994</v>
      </c>
      <c r="L241" s="3">
        <v>26889.609375</v>
      </c>
      <c r="N241" s="5">
        <v>-1.7993565048012528E-2</v>
      </c>
      <c r="O241" s="5">
        <v>-6.2073445743342504E-3</v>
      </c>
      <c r="P241" s="5">
        <v>-9.3023926623136965E-3</v>
      </c>
      <c r="Q241" s="5">
        <v>-1.03093696588612E-2</v>
      </c>
      <c r="R241" s="5">
        <v>-8.1118065353757984E-3</v>
      </c>
      <c r="S241" s="5">
        <v>-1.5456258236691944E-2</v>
      </c>
      <c r="T241" s="5">
        <v>-1.4483465818579955E-2</v>
      </c>
      <c r="U241" s="5">
        <v>-6.3319976375071363E-3</v>
      </c>
      <c r="V241" s="5">
        <v>-4.1672696400568032E-2</v>
      </c>
      <c r="W241" s="5">
        <v>-3.5473609387981497E-3</v>
      </c>
      <c r="X241" s="5">
        <v>-1.5845770937952253E-2</v>
      </c>
      <c r="AZ241" s="3" t="s">
        <v>247</v>
      </c>
      <c r="BA241" s="3">
        <v>236</v>
      </c>
      <c r="BB241" s="3">
        <v>0.94696203693633729</v>
      </c>
      <c r="BC241" s="3">
        <v>0.94900703740073344</v>
      </c>
      <c r="BD241" s="3">
        <v>0.88796135322162628</v>
      </c>
      <c r="BE241" s="3">
        <v>0.48699154728259075</v>
      </c>
      <c r="BG241" s="3">
        <v>1.4153300445432032E-2</v>
      </c>
      <c r="BH241" s="3">
        <v>1.3324419944915074E-2</v>
      </c>
      <c r="BI241" s="3">
        <v>1.0337060542878002E-2</v>
      </c>
      <c r="BJ241" s="3">
        <v>5.4466732427381759E-3</v>
      </c>
    </row>
    <row r="242" spans="1:62" x14ac:dyDescent="0.2">
      <c r="A242" s="3" t="s">
        <v>250</v>
      </c>
      <c r="B242" s="3">
        <v>71.599999999999994</v>
      </c>
      <c r="C242" s="3">
        <v>80.3</v>
      </c>
      <c r="D242" s="3">
        <v>14.98</v>
      </c>
      <c r="E242" s="3">
        <v>57.9</v>
      </c>
      <c r="F242" s="3">
        <v>55.25</v>
      </c>
      <c r="G242" s="3">
        <v>160.5</v>
      </c>
      <c r="H242" s="3">
        <v>37.700000000000003</v>
      </c>
      <c r="I242" s="3">
        <v>110.2</v>
      </c>
      <c r="J242" s="3">
        <v>10.34</v>
      </c>
      <c r="K242" s="3">
        <v>70.349999999999994</v>
      </c>
      <c r="L242" s="3">
        <v>26466.880859000001</v>
      </c>
      <c r="N242" s="5">
        <v>2.0927806731307896E-3</v>
      </c>
      <c r="O242" s="5">
        <v>-1.2461060802468893E-3</v>
      </c>
      <c r="P242" s="5">
        <v>1.3342230131367927E-3</v>
      </c>
      <c r="Q242" s="5">
        <v>4.3084943857234492E-3</v>
      </c>
      <c r="R242" s="5">
        <v>-1.8115946983510156E-3</v>
      </c>
      <c r="S242" s="5">
        <v>1.8674141747956341E-3</v>
      </c>
      <c r="T242" s="5">
        <v>3.9708854294926432E-3</v>
      </c>
      <c r="U242" s="5">
        <v>6.3319976375071363E-3</v>
      </c>
      <c r="V242" s="5">
        <v>0</v>
      </c>
      <c r="W242" s="5">
        <v>-7.848773792071384E-3</v>
      </c>
      <c r="X242" s="5">
        <v>4.8320667453030097E-3</v>
      </c>
      <c r="AZ242" s="3" t="s">
        <v>248</v>
      </c>
      <c r="BA242" s="3">
        <v>237</v>
      </c>
      <c r="BB242" s="3">
        <v>0.96045996998629291</v>
      </c>
      <c r="BC242" s="3">
        <v>0.96173662454630549</v>
      </c>
      <c r="BD242" s="3">
        <v>0.89718786885698221</v>
      </c>
      <c r="BE242" s="3">
        <v>0.48965126785171842</v>
      </c>
      <c r="BG242" s="3">
        <v>-1.2982313406352045E-3</v>
      </c>
      <c r="BH242" s="3">
        <v>-1.4606923758707022E-3</v>
      </c>
      <c r="BI242" s="3">
        <v>-7.1337828628530164E-4</v>
      </c>
      <c r="BJ242" s="3">
        <v>4.4195164675231435E-4</v>
      </c>
    </row>
    <row r="243" spans="1:62" x14ac:dyDescent="0.2">
      <c r="A243" s="3" t="s">
        <v>251</v>
      </c>
      <c r="B243" s="3">
        <v>71.75</v>
      </c>
      <c r="C243" s="3">
        <v>80.2</v>
      </c>
      <c r="D243" s="3">
        <v>15</v>
      </c>
      <c r="E243" s="3">
        <v>58.15</v>
      </c>
      <c r="F243" s="3">
        <v>55.15</v>
      </c>
      <c r="G243" s="3">
        <v>160.80000000000001</v>
      </c>
      <c r="H243" s="3">
        <v>37.85</v>
      </c>
      <c r="I243" s="3">
        <v>110.9</v>
      </c>
      <c r="J243" s="3">
        <v>10.34</v>
      </c>
      <c r="K243" s="3">
        <v>69.8</v>
      </c>
      <c r="L243" s="3">
        <v>26595.080077999999</v>
      </c>
      <c r="N243" s="5">
        <v>1.3927578853030198E-3</v>
      </c>
      <c r="O243" s="5">
        <v>7.4534506545811396E-3</v>
      </c>
      <c r="P243" s="5">
        <v>6.6445427186687667E-3</v>
      </c>
      <c r="Q243" s="5">
        <v>1.4511564941046551E-2</v>
      </c>
      <c r="R243" s="5">
        <v>1.4401689058423095E-2</v>
      </c>
      <c r="S243" s="5">
        <v>1.2975158863133274E-2</v>
      </c>
      <c r="T243" s="5">
        <v>1.7027261410281103E-2</v>
      </c>
      <c r="U243" s="5">
        <v>2.9322402865588515E-2</v>
      </c>
      <c r="V243" s="5">
        <v>1.9157674032932892E-2</v>
      </c>
      <c r="W243" s="5">
        <v>2.1963334154518677E-2</v>
      </c>
      <c r="X243" s="5">
        <v>1.4852781076641008E-2</v>
      </c>
      <c r="AZ243" s="3" t="s">
        <v>249</v>
      </c>
      <c r="BA243" s="3">
        <v>238</v>
      </c>
      <c r="BB243" s="3">
        <v>0.95921387978352224</v>
      </c>
      <c r="BC243" s="3">
        <v>0.96033284868317936</v>
      </c>
      <c r="BD243" s="3">
        <v>0.89654806275164611</v>
      </c>
      <c r="BE243" s="3">
        <v>0.4898677178625761</v>
      </c>
      <c r="BG243" s="3">
        <v>-1.3518013122337816E-2</v>
      </c>
      <c r="BH243" s="3">
        <v>-1.2259947333214165E-2</v>
      </c>
      <c r="BI243" s="3">
        <v>-9.9221308491577731E-3</v>
      </c>
      <c r="BJ243" s="3">
        <v>-5.3816259449205317E-3</v>
      </c>
    </row>
    <row r="244" spans="1:62" x14ac:dyDescent="0.2">
      <c r="A244" s="3" t="s">
        <v>252</v>
      </c>
      <c r="B244" s="3">
        <v>71.849999999999994</v>
      </c>
      <c r="C244" s="3">
        <v>80.8</v>
      </c>
      <c r="D244" s="3">
        <v>15.1</v>
      </c>
      <c r="E244" s="3">
        <v>59</v>
      </c>
      <c r="F244" s="3">
        <v>55.95</v>
      </c>
      <c r="G244" s="3">
        <v>162.9</v>
      </c>
      <c r="H244" s="3">
        <v>38.5</v>
      </c>
      <c r="I244" s="3">
        <v>114.2</v>
      </c>
      <c r="J244" s="3">
        <v>10.54</v>
      </c>
      <c r="K244" s="3">
        <v>71.349999999999994</v>
      </c>
      <c r="L244" s="3">
        <v>26993.039063</v>
      </c>
      <c r="N244" s="5">
        <v>4.8594333737472795E-3</v>
      </c>
      <c r="O244" s="5">
        <v>-1.2383902511468037E-3</v>
      </c>
      <c r="P244" s="5">
        <v>-3.981425299185215E-3</v>
      </c>
      <c r="Q244" s="5">
        <v>-3.3955890011387879E-3</v>
      </c>
      <c r="R244" s="5">
        <v>-1.5308718599065685E-2</v>
      </c>
      <c r="S244" s="5">
        <v>-4.9230868663689975E-3</v>
      </c>
      <c r="T244" s="5">
        <v>-7.8227256812093415E-3</v>
      </c>
      <c r="U244" s="5">
        <v>6.9808311413401825E-3</v>
      </c>
      <c r="V244" s="5">
        <v>-1.7225306281879238E-2</v>
      </c>
      <c r="W244" s="5">
        <v>1.4005604530309412E-3</v>
      </c>
      <c r="X244" s="5">
        <v>-2.9353982973994164E-3</v>
      </c>
      <c r="AZ244" s="3" t="s">
        <v>250</v>
      </c>
      <c r="BA244" s="3">
        <v>239</v>
      </c>
      <c r="BB244" s="3">
        <v>0.94633446216556649</v>
      </c>
      <c r="BC244" s="3">
        <v>0.94863109653869715</v>
      </c>
      <c r="BD244" s="3">
        <v>0.88769638194762379</v>
      </c>
      <c r="BE244" s="3">
        <v>0.48723851408374108</v>
      </c>
      <c r="BG244" s="3">
        <v>1.0143450176988006E-3</v>
      </c>
      <c r="BH244" s="3">
        <v>8.5848410372255796E-4</v>
      </c>
      <c r="BI244" s="3">
        <v>-3.8749029564080772E-4</v>
      </c>
      <c r="BJ244" s="3">
        <v>-2.3968160046266007E-3</v>
      </c>
    </row>
    <row r="245" spans="1:62" x14ac:dyDescent="0.2">
      <c r="A245" s="3" t="s">
        <v>253</v>
      </c>
      <c r="B245" s="3">
        <v>72.2</v>
      </c>
      <c r="C245" s="3">
        <v>80.7</v>
      </c>
      <c r="D245" s="3">
        <v>15.04</v>
      </c>
      <c r="E245" s="3">
        <v>58.8</v>
      </c>
      <c r="F245" s="3">
        <v>55.1</v>
      </c>
      <c r="G245" s="3">
        <v>162.1</v>
      </c>
      <c r="H245" s="3">
        <v>38.200000000000003</v>
      </c>
      <c r="I245" s="3">
        <v>115</v>
      </c>
      <c r="J245" s="3">
        <v>10.36</v>
      </c>
      <c r="K245" s="3">
        <v>71.45</v>
      </c>
      <c r="L245" s="3">
        <v>26913.919922000001</v>
      </c>
      <c r="N245" s="5">
        <v>-6.2521912590502993E-3</v>
      </c>
      <c r="O245" s="5">
        <v>1.8570107472122288E-3</v>
      </c>
      <c r="P245" s="5">
        <v>5.3050522296933522E-3</v>
      </c>
      <c r="Q245" s="5">
        <v>2.5477720787989711E-3</v>
      </c>
      <c r="R245" s="5">
        <v>-1.8165309263977747E-3</v>
      </c>
      <c r="S245" s="5">
        <v>-1.8524241172386269E-3</v>
      </c>
      <c r="T245" s="5">
        <v>0</v>
      </c>
      <c r="U245" s="5">
        <v>-8.6994350854041613E-4</v>
      </c>
      <c r="V245" s="5">
        <v>1.1516442061559218E-2</v>
      </c>
      <c r="W245" s="5">
        <v>3.4928432296990053E-3</v>
      </c>
      <c r="X245" s="5">
        <v>1.4880873608689171E-3</v>
      </c>
      <c r="AZ245" s="3" t="s">
        <v>251</v>
      </c>
      <c r="BA245" s="3">
        <v>240</v>
      </c>
      <c r="BB245" s="3">
        <v>0.94729485881677422</v>
      </c>
      <c r="BC245" s="3">
        <v>0.94944583092359369</v>
      </c>
      <c r="BD245" s="3">
        <v>0.88735247484877844</v>
      </c>
      <c r="BE245" s="3">
        <v>0.48607209142376273</v>
      </c>
      <c r="BG245" s="3">
        <v>1.4555414377736352E-2</v>
      </c>
      <c r="BH245" s="3">
        <v>1.3563143919213184E-2</v>
      </c>
      <c r="BI245" s="3">
        <v>1.0230417391068836E-2</v>
      </c>
      <c r="BJ245" s="3">
        <v>4.8062418528475037E-3</v>
      </c>
    </row>
    <row r="246" spans="1:62" x14ac:dyDescent="0.2">
      <c r="A246" s="3" t="s">
        <v>254</v>
      </c>
      <c r="B246" s="3">
        <v>71.75</v>
      </c>
      <c r="C246" s="3">
        <v>80.849999999999994</v>
      </c>
      <c r="D246" s="3">
        <v>15.12</v>
      </c>
      <c r="E246" s="3">
        <v>58.95</v>
      </c>
      <c r="F246" s="3">
        <v>55</v>
      </c>
      <c r="G246" s="3">
        <v>161.80000000000001</v>
      </c>
      <c r="H246" s="3">
        <v>38.200000000000003</v>
      </c>
      <c r="I246" s="3">
        <v>114.9</v>
      </c>
      <c r="J246" s="3">
        <v>10.48</v>
      </c>
      <c r="K246" s="3">
        <v>71.7</v>
      </c>
      <c r="L246" s="3">
        <v>26954</v>
      </c>
      <c r="N246" s="5">
        <v>9.0184447519403577E-3</v>
      </c>
      <c r="O246" s="5">
        <v>4.3196611445166511E-3</v>
      </c>
      <c r="P246" s="5">
        <v>-5.3050522296933522E-3</v>
      </c>
      <c r="Q246" s="5">
        <v>-2.5477720787989711E-3</v>
      </c>
      <c r="R246" s="5">
        <v>7.246408520766856E-3</v>
      </c>
      <c r="S246" s="5">
        <v>-2.4752487885431051E-3</v>
      </c>
      <c r="T246" s="5">
        <v>-3.934431304834618E-3</v>
      </c>
      <c r="U246" s="5">
        <v>-1.7421607193846E-3</v>
      </c>
      <c r="V246" s="5">
        <v>-5.7416425676750649E-3</v>
      </c>
      <c r="W246" s="5">
        <v>-2.7932979056135565E-3</v>
      </c>
      <c r="X246" s="5">
        <v>-2.2385179706709835E-3</v>
      </c>
      <c r="AZ246" s="3" t="s">
        <v>252</v>
      </c>
      <c r="BA246" s="3">
        <v>241</v>
      </c>
      <c r="BB246" s="3">
        <v>0.96118396365147252</v>
      </c>
      <c r="BC246" s="3">
        <v>0.96241102702762804</v>
      </c>
      <c r="BD246" s="3">
        <v>0.89647705559173096</v>
      </c>
      <c r="BE246" s="3">
        <v>0.48841389458127643</v>
      </c>
      <c r="BG246" s="3">
        <v>-4.3278434829187792E-3</v>
      </c>
      <c r="BH246" s="3">
        <v>-4.6456773142433821E-3</v>
      </c>
      <c r="BI246" s="3">
        <v>-8.0345590262263233E-3</v>
      </c>
      <c r="BJ246" s="3">
        <v>-1.2764952616114877E-2</v>
      </c>
    </row>
    <row r="247" spans="1:62" x14ac:dyDescent="0.2">
      <c r="A247" s="3" t="s">
        <v>255</v>
      </c>
      <c r="B247" s="3">
        <v>72.400000000000006</v>
      </c>
      <c r="C247" s="3">
        <v>81.2</v>
      </c>
      <c r="D247" s="3">
        <v>15.04</v>
      </c>
      <c r="E247" s="3">
        <v>58.8</v>
      </c>
      <c r="F247" s="3">
        <v>55.4</v>
      </c>
      <c r="G247" s="3">
        <v>161.4</v>
      </c>
      <c r="H247" s="3">
        <v>38.049999999999997</v>
      </c>
      <c r="I247" s="3">
        <v>114.7</v>
      </c>
      <c r="J247" s="3">
        <v>10.42</v>
      </c>
      <c r="K247" s="3">
        <v>71.5</v>
      </c>
      <c r="L247" s="3">
        <v>26893.730468999998</v>
      </c>
      <c r="N247" s="5">
        <v>-1.811896258247625E-2</v>
      </c>
      <c r="O247" s="5">
        <v>-6.1766718917288799E-3</v>
      </c>
      <c r="P247" s="5">
        <v>-8.0107237460786962E-3</v>
      </c>
      <c r="Q247" s="5">
        <v>-1.1976191046715101E-2</v>
      </c>
      <c r="R247" s="5">
        <v>-1.7296744374268425E-2</v>
      </c>
      <c r="S247" s="5">
        <v>-1.121507082013995E-2</v>
      </c>
      <c r="T247" s="5">
        <v>-1.0568130061792136E-2</v>
      </c>
      <c r="U247" s="5">
        <v>-6.999153682188286E-3</v>
      </c>
      <c r="V247" s="5">
        <v>-1.9380451549662503E-2</v>
      </c>
      <c r="W247" s="5">
        <v>-1.4794211355272147E-2</v>
      </c>
      <c r="X247" s="5">
        <v>-2.0558123211223744E-2</v>
      </c>
      <c r="AZ247" s="3" t="s">
        <v>253</v>
      </c>
      <c r="BA247" s="3">
        <v>242</v>
      </c>
      <c r="BB247" s="3">
        <v>0.95703309852467711</v>
      </c>
      <c r="BC247" s="3">
        <v>0.95795034541871749</v>
      </c>
      <c r="BD247" s="3">
        <v>0.88930311608537782</v>
      </c>
      <c r="BE247" s="3">
        <v>0.4822189376448055</v>
      </c>
      <c r="BG247" s="3">
        <v>1.4523064307326097E-3</v>
      </c>
      <c r="BH247" s="3">
        <v>1.1150293451438753E-3</v>
      </c>
      <c r="BI247" s="3">
        <v>5.5797657477157925E-4</v>
      </c>
      <c r="BJ247" s="3">
        <v>-9.2175208806855036E-4</v>
      </c>
    </row>
    <row r="248" spans="1:62" x14ac:dyDescent="0.2">
      <c r="A248" s="3" t="s">
        <v>256</v>
      </c>
      <c r="B248" s="3">
        <v>71.099999999999994</v>
      </c>
      <c r="C248" s="3">
        <v>80.7</v>
      </c>
      <c r="D248" s="3">
        <v>14.92</v>
      </c>
      <c r="E248" s="3">
        <v>58.1</v>
      </c>
      <c r="F248" s="3">
        <v>54.45</v>
      </c>
      <c r="G248" s="3">
        <v>159.6</v>
      </c>
      <c r="H248" s="3">
        <v>37.65</v>
      </c>
      <c r="I248" s="3">
        <v>113.9</v>
      </c>
      <c r="J248" s="3">
        <v>10.220000000000001</v>
      </c>
      <c r="K248" s="3">
        <v>70.45</v>
      </c>
      <c r="L248" s="3">
        <v>26346.490234000001</v>
      </c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AZ248" s="3" t="s">
        <v>254</v>
      </c>
      <c r="BA248" s="3">
        <v>243</v>
      </c>
      <c r="BB248" s="3">
        <v>0.9584240136210822</v>
      </c>
      <c r="BC248" s="3">
        <v>0.95901908389170054</v>
      </c>
      <c r="BD248" s="3">
        <v>0.88979946485464023</v>
      </c>
      <c r="BE248" s="3">
        <v>0.48177465612229187</v>
      </c>
      <c r="BG248" s="3">
        <v>-4.5880704200969291E-4</v>
      </c>
      <c r="BH248" s="3">
        <v>2.1856722166684744E-4</v>
      </c>
      <c r="BI248" s="3">
        <v>3.4580829887769782E-3</v>
      </c>
      <c r="BJ248" s="3">
        <v>9.0071383487476675E-3</v>
      </c>
    </row>
    <row r="249" spans="1:62" x14ac:dyDescent="0.2">
      <c r="AZ249" s="3" t="s">
        <v>255</v>
      </c>
      <c r="BA249" s="3">
        <v>244</v>
      </c>
      <c r="BB249" s="3">
        <v>0.95798438279497311</v>
      </c>
      <c r="BC249" s="3">
        <v>0.95922871693701384</v>
      </c>
      <c r="BD249" s="3">
        <v>0.89288179164677495</v>
      </c>
      <c r="BE249" s="3">
        <v>0.48613366874780856</v>
      </c>
      <c r="BG249" s="3">
        <v>-1.2360190440564016E-2</v>
      </c>
      <c r="BH249" s="3">
        <v>-1.2340280074528656E-2</v>
      </c>
      <c r="BI249" s="3">
        <v>-1.2311330502088561E-2</v>
      </c>
      <c r="BJ249" s="3">
        <v>-1.3058505970033885E-2</v>
      </c>
    </row>
    <row r="250" spans="1:62" x14ac:dyDescent="0.2">
      <c r="AZ250" s="3" t="s">
        <v>256</v>
      </c>
      <c r="BA250" s="3">
        <v>245</v>
      </c>
      <c r="BB250" s="3">
        <v>0.94621639051755835</v>
      </c>
      <c r="BC250" s="3">
        <v>0.94746430328665265</v>
      </c>
      <c r="BD250" s="3">
        <v>0.88195661851179652</v>
      </c>
      <c r="BE250" s="3">
        <v>0.47982675836899585</v>
      </c>
      <c r="BG250" s="7"/>
      <c r="BH250" s="7"/>
      <c r="BI250" s="7"/>
      <c r="BJ250" s="7"/>
    </row>
  </sheetData>
  <sortState xmlns:xlrd2="http://schemas.microsoft.com/office/spreadsheetml/2017/richdata2" columnSort="1" ref="AA56:AJ66">
    <sortCondition descending="1" ref="AA56:AJ56"/>
  </sortState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Eigencalcs</vt:lpstr>
      <vt:lpstr>PCA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White</dc:creator>
  <cp:lastModifiedBy>WONG, Michael Kwok Yee</cp:lastModifiedBy>
  <cp:lastPrinted>2011-10-04T19:23:43Z</cp:lastPrinted>
  <dcterms:created xsi:type="dcterms:W3CDTF">1999-10-06T23:05:41Z</dcterms:created>
  <dcterms:modified xsi:type="dcterms:W3CDTF">2021-11-23T17:48:05Z</dcterms:modified>
</cp:coreProperties>
</file>