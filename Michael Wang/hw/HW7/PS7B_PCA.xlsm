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My Documents\tea\msdm5003\notes21\Week12\"/>
    </mc:Choice>
  </mc:AlternateContent>
  <xr:revisionPtr revIDLastSave="0" documentId="13_ncr:1_{F507EE83-FD0D-4FEC-B102-47A71E2BE64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Eigencalcs" sheetId="6" r:id="rId1"/>
    <sheet name="PCA" sheetId="8" r:id="rId2"/>
  </sheets>
  <functionGroups builtInGroupCount="19"/>
  <definedNames>
    <definedName name="anscount" hidden="1">2</definedName>
    <definedName name="Lambda">#REF!</definedName>
    <definedName name="limcount" hidden="1">1</definedName>
    <definedName name="M">#REF!</definedName>
    <definedName name="sencount" hidden="1">2</definedName>
    <definedName name="tranmat">#REF!</definedName>
    <definedName name="TransMat">#REF!</definedName>
    <definedName name="Vec">#REF!</definedName>
    <definedName name="VecTran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6" l="1" a="1"/>
  <c r="C25" i="6" a="1"/>
  <c r="F18" i="6" l="1"/>
  <c r="C15" i="6"/>
  <c r="I21" i="6"/>
  <c r="D15" i="6"/>
  <c r="K19" i="6"/>
  <c r="H16" i="6"/>
  <c r="E15" i="6"/>
  <c r="G15" i="6"/>
  <c r="G13" i="6"/>
  <c r="H17" i="6"/>
  <c r="K21" i="6"/>
  <c r="H15" i="6"/>
  <c r="G19" i="6"/>
  <c r="G14" i="6"/>
  <c r="K14" i="6"/>
  <c r="E13" i="6"/>
  <c r="D18" i="6"/>
  <c r="D13" i="6"/>
  <c r="J13" i="6"/>
  <c r="K17" i="6"/>
  <c r="C21" i="6"/>
  <c r="E19" i="6"/>
  <c r="D16" i="6"/>
  <c r="C18" i="6"/>
  <c r="I20" i="6"/>
  <c r="D19" i="6"/>
  <c r="H20" i="6"/>
  <c r="J21" i="6"/>
  <c r="E14" i="6"/>
  <c r="H19" i="6"/>
  <c r="I15" i="6"/>
  <c r="C14" i="6"/>
  <c r="K16" i="6"/>
  <c r="D17" i="6"/>
  <c r="J19" i="6"/>
  <c r="C16" i="6"/>
  <c r="C20" i="6"/>
  <c r="E20" i="6"/>
  <c r="G18" i="6"/>
  <c r="F16" i="6"/>
  <c r="C17" i="6"/>
  <c r="C19" i="6"/>
  <c r="J16" i="6"/>
  <c r="E16" i="6"/>
  <c r="H14" i="6"/>
  <c r="I17" i="6"/>
  <c r="H21" i="6"/>
  <c r="I14" i="6"/>
  <c r="G16" i="6"/>
  <c r="G21" i="6"/>
  <c r="K15" i="6"/>
  <c r="E17" i="6"/>
  <c r="K20" i="6"/>
  <c r="E18" i="6"/>
  <c r="I16" i="6"/>
  <c r="F19" i="6"/>
  <c r="E21" i="6"/>
  <c r="I19" i="6"/>
  <c r="D20" i="6"/>
  <c r="J20" i="6"/>
  <c r="F13" i="6"/>
  <c r="H18" i="6"/>
  <c r="K13" i="6"/>
  <c r="J15" i="6"/>
  <c r="I18" i="6"/>
  <c r="J18" i="6"/>
  <c r="J17" i="6"/>
  <c r="D21" i="6"/>
  <c r="C13" i="6"/>
  <c r="F15" i="6"/>
  <c r="F17" i="6"/>
  <c r="D14" i="6"/>
  <c r="K18" i="6"/>
  <c r="G17" i="6"/>
  <c r="F14" i="6"/>
  <c r="F21" i="6"/>
  <c r="H13" i="6"/>
  <c r="J14" i="6"/>
  <c r="I13" i="6"/>
  <c r="G20" i="6"/>
  <c r="F20" i="6"/>
  <c r="G27" i="6"/>
  <c r="F26" i="6"/>
  <c r="J26" i="6"/>
  <c r="H26" i="6"/>
  <c r="I29" i="6"/>
  <c r="I30" i="6"/>
  <c r="C26" i="6"/>
  <c r="I31" i="6"/>
  <c r="C29" i="6"/>
  <c r="F30" i="6"/>
  <c r="G30" i="6"/>
  <c r="K25" i="6"/>
  <c r="D32" i="6"/>
  <c r="K30" i="6"/>
  <c r="G33" i="6"/>
  <c r="J27" i="6"/>
  <c r="J29" i="6"/>
  <c r="H33" i="6"/>
  <c r="F29" i="6"/>
  <c r="I27" i="6"/>
  <c r="D29" i="6"/>
  <c r="K26" i="6"/>
  <c r="G32" i="6"/>
  <c r="C31" i="6"/>
  <c r="D30" i="6"/>
  <c r="G26" i="6"/>
  <c r="C25" i="6"/>
  <c r="E30" i="6"/>
  <c r="I25" i="6"/>
  <c r="G31" i="6"/>
  <c r="C32" i="6"/>
  <c r="D31" i="6"/>
  <c r="D28" i="6"/>
  <c r="H27" i="6"/>
  <c r="C30" i="6"/>
  <c r="J25" i="6"/>
  <c r="J33" i="6"/>
  <c r="E31" i="6"/>
  <c r="E29" i="6"/>
  <c r="C33" i="6"/>
  <c r="C27" i="6"/>
  <c r="K33" i="6"/>
  <c r="F25" i="6"/>
  <c r="F28" i="6"/>
  <c r="E27" i="6"/>
  <c r="E26" i="6"/>
  <c r="G28" i="6"/>
  <c r="J30" i="6"/>
  <c r="H25" i="6"/>
  <c r="J28" i="6"/>
  <c r="K32" i="6"/>
  <c r="G29" i="6"/>
  <c r="H29" i="6"/>
  <c r="D25" i="6"/>
  <c r="H30" i="6"/>
  <c r="I28" i="6"/>
  <c r="D26" i="6"/>
  <c r="K31" i="6"/>
  <c r="H32" i="6"/>
  <c r="D27" i="6"/>
  <c r="H28" i="6"/>
  <c r="H31" i="6"/>
  <c r="C28" i="6"/>
  <c r="I33" i="6"/>
  <c r="K27" i="6"/>
  <c r="E32" i="6"/>
  <c r="F33" i="6"/>
  <c r="F27" i="6"/>
  <c r="F31" i="6"/>
  <c r="E28" i="6"/>
  <c r="G25" i="6"/>
  <c r="J32" i="6"/>
  <c r="F32" i="6"/>
  <c r="K28" i="6"/>
  <c r="J31" i="6"/>
  <c r="I32" i="6"/>
  <c r="K29" i="6"/>
  <c r="I26" i="6"/>
  <c r="E33" i="6"/>
  <c r="E25" i="6"/>
  <c r="D33" i="6"/>
</calcChain>
</file>

<file path=xl/sharedStrings.xml><?xml version="1.0" encoding="utf-8"?>
<sst xmlns="http://schemas.openxmlformats.org/spreadsheetml/2006/main" count="191" uniqueCount="47">
  <si>
    <t>Price</t>
  </si>
  <si>
    <t>Return</t>
  </si>
  <si>
    <t>EWS</t>
  </si>
  <si>
    <t>RE</t>
  </si>
  <si>
    <t>Time</t>
  </si>
  <si>
    <t>Total</t>
  </si>
  <si>
    <t>Gain</t>
  </si>
  <si>
    <t>price</t>
  </si>
  <si>
    <t>SD</t>
  </si>
  <si>
    <t>weight</t>
  </si>
  <si>
    <t>Eigenvalue</t>
  </si>
  <si>
    <t>Eigenvector</t>
  </si>
  <si>
    <t>Eigenmode</t>
  </si>
  <si>
    <t>inverse</t>
  </si>
  <si>
    <t>Projection</t>
  </si>
  <si>
    <t>EWP</t>
  </si>
  <si>
    <t>volume</t>
  </si>
  <si>
    <t>0.1</t>
  </si>
  <si>
    <t>Sign-corrected eigenvectors</t>
  </si>
  <si>
    <t>Risk wt</t>
  </si>
  <si>
    <t>Eigenmodes sorted with decreasing magnitude of eigenvalues</t>
  </si>
  <si>
    <t>Cumulative variance</t>
  </si>
  <si>
    <t>First 4 modes are selected for 80% cumulative variance.</t>
  </si>
  <si>
    <t>Equal weight stock (EWS)</t>
  </si>
  <si>
    <t>Risk equity (RE)</t>
  </si>
  <si>
    <t>Equal weight portfolio (EWP)</t>
  </si>
  <si>
    <t>Correlation</t>
  </si>
  <si>
    <t>Eigenvalues and eigenvectors copied from the matrix area</t>
  </si>
  <si>
    <t>Minimum</t>
  </si>
  <si>
    <t>equal wt</t>
  </si>
  <si>
    <t>stock wt</t>
  </si>
  <si>
    <t>Diversified risk parity (DRP)</t>
  </si>
  <si>
    <t>DRP</t>
  </si>
  <si>
    <t>MSFT</t>
  </si>
  <si>
    <t>AAPL</t>
  </si>
  <si>
    <t>AMZN</t>
  </si>
  <si>
    <t>GOOGL</t>
  </si>
  <si>
    <t>TSLA</t>
  </si>
  <si>
    <t>GOOG</t>
  </si>
  <si>
    <t>FB</t>
  </si>
  <si>
    <t>NVDA</t>
  </si>
  <si>
    <t>BRK-B</t>
  </si>
  <si>
    <t>JPM</t>
  </si>
  <si>
    <t>GSPC</t>
  </si>
  <si>
    <t>beta</t>
  </si>
  <si>
    <t>20/11/2020</t>
  </si>
  <si>
    <t>23/11/2020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</si>
</sst>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3" x14ac:knownFonts="1">
    <font>
      <sz val="10"/>
      <name val="Arial"/>
    </font>
    <font>
      <sz val="10"/>
      <name val="Calibri"/>
      <family val="2"/>
      <scheme val="minor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164" fontId="0" fillId="0" borderId="0" xfId="0" applyNumberFormat="1"/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Fill="1" applyAlignment="1">
      <alignment horizontal="center" vertical="center"/>
    </xf>
    <xf numFmtId="0" fontId="1" fillId="3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vertical="center"/>
    </xf>
    <xf numFmtId="0" fontId="1" fillId="0" borderId="0" xfId="0" applyNumberFormat="1" applyFont="1" applyFill="1" applyAlignment="1">
      <alignment vertical="center"/>
    </xf>
    <xf numFmtId="0" fontId="1" fillId="2" borderId="0" xfId="0" applyNumberFormat="1" applyFont="1" applyFill="1" applyAlignment="1">
      <alignment vertical="center"/>
    </xf>
    <xf numFmtId="0" fontId="1" fillId="5" borderId="0" xfId="0" applyNumberFormat="1" applyFont="1" applyFill="1" applyAlignment="1">
      <alignment vertical="center"/>
    </xf>
    <xf numFmtId="0" fontId="1" fillId="5" borderId="0" xfId="0" applyNumberFormat="1" applyFont="1" applyFill="1" applyAlignment="1">
      <alignment horizontal="center" vertical="center"/>
    </xf>
    <xf numFmtId="0" fontId="1" fillId="6" borderId="0" xfId="0" applyNumberFormat="1" applyFont="1" applyFill="1" applyAlignment="1">
      <alignment vertical="center"/>
    </xf>
    <xf numFmtId="0" fontId="1" fillId="6" borderId="0" xfId="0" applyNumberFormat="1" applyFont="1" applyFill="1" applyAlignment="1">
      <alignment horizontal="center" vertical="center"/>
    </xf>
    <xf numFmtId="0" fontId="1" fillId="6" borderId="0" xfId="0" applyNumberFormat="1" applyFont="1" applyFill="1" applyAlignment="1">
      <alignment horizontal="left" vertical="center"/>
    </xf>
    <xf numFmtId="0" fontId="1" fillId="7" borderId="0" xfId="0" applyNumberFormat="1" applyFont="1" applyFill="1" applyAlignment="1">
      <alignment vertical="center"/>
    </xf>
    <xf numFmtId="0" fontId="1" fillId="7" borderId="0" xfId="0" applyNumberFormat="1" applyFont="1" applyFill="1" applyAlignment="1">
      <alignment horizontal="center" vertical="center"/>
    </xf>
    <xf numFmtId="0" fontId="1" fillId="7" borderId="0" xfId="0" applyNumberFormat="1" applyFont="1" applyFill="1" applyAlignment="1">
      <alignment horizontal="left" vertical="center"/>
    </xf>
    <xf numFmtId="0" fontId="1" fillId="0" borderId="1" xfId="0" applyNumberFormat="1" applyFont="1" applyBorder="1" applyAlignment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0" fontId="1" fillId="0" borderId="7" xfId="0" applyNumberFormat="1" applyFont="1" applyBorder="1" applyAlignment="1">
      <alignment horizontal="center" vertical="center"/>
    </xf>
    <xf numFmtId="0" fontId="1" fillId="0" borderId="8" xfId="0" applyNumberFormat="1" applyFont="1" applyBorder="1" applyAlignment="1">
      <alignment horizontal="center" vertical="center"/>
    </xf>
    <xf numFmtId="1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FFFF99"/>
      <color rgb="FFFFCC99"/>
      <color rgb="FFFFCCCC"/>
      <color rgb="FFCCFFCC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723900</xdr:colOff>
      <xdr:row>11</xdr:row>
      <xdr:rowOff>133350</xdr:rowOff>
    </xdr:from>
    <xdr:ext cx="199315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2315825" y="1914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HK"/>
        </a:p>
      </xdr:txBody>
    </xdr:sp>
    <xdr:clientData/>
  </xdr:oneCellAnchor>
  <xdr:twoCellAnchor>
    <xdr:from>
      <xdr:col>12</xdr:col>
      <xdr:colOff>366713</xdr:colOff>
      <xdr:row>7</xdr:row>
      <xdr:rowOff>38100</xdr:rowOff>
    </xdr:from>
    <xdr:to>
      <xdr:col>18</xdr:col>
      <xdr:colOff>457200</xdr:colOff>
      <xdr:row>32</xdr:row>
      <xdr:rowOff>76200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372850" y="1171575"/>
          <a:ext cx="4505325" cy="4086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calculation of eigenvectors</a:t>
          </a:r>
          <a:r>
            <a:rPr lang="en-US" sz="1100" baseline="0"/>
            <a:t> and eigenvalues involves the use of array functions</a:t>
          </a:r>
        </a:p>
        <a:p>
          <a:endParaRPr lang="en-US" sz="1100" baseline="0"/>
        </a:p>
        <a:p>
          <a:r>
            <a:rPr lang="en-US" sz="1100" b="1" baseline="0"/>
            <a:t>Eigenvalues</a:t>
          </a:r>
        </a:p>
        <a:p>
          <a:r>
            <a:rPr lang="en-US" sz="1100" baseline="0"/>
            <a:t>1. Select a range of cells that corresponds to the size of the matrix. (In the example the matrix is 9 by 9 and  cells C13:K21 are selected.) </a:t>
          </a:r>
        </a:p>
        <a:p>
          <a:r>
            <a:rPr lang="en-US" sz="1100" baseline="0"/>
            <a:t>2. While selected cells are displayed enter  =eigenvalue(...) .  The argument of eigenvalue  should be the range of cells corresponding to the original matrix. (In the example this is C1:K9 so that the formula entered is =eigenvalue(C1:K9)</a:t>
          </a:r>
        </a:p>
        <a:p>
          <a:r>
            <a:rPr lang="en-US" sz="1100" baseline="0"/>
            <a:t>3. Press Control+Shift+Enter</a:t>
          </a:r>
        </a:p>
        <a:p>
          <a:r>
            <a:rPr lang="en-US" sz="1100"/>
            <a:t>4. The eigenvalues are displayed on the diagonal of the</a:t>
          </a:r>
          <a:r>
            <a:rPr lang="en-US" sz="1100" baseline="0"/>
            <a:t> matrix that is produced</a:t>
          </a:r>
        </a:p>
        <a:p>
          <a:endParaRPr lang="en-US" sz="1100" baseline="0"/>
        </a:p>
        <a:p>
          <a:r>
            <a:rPr lang="en-US" sz="1100" b="1" baseline="0"/>
            <a:t>Eigenvectors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Select a range of cells that corresponds to the size of the matrix. (In the example the matrix is 9 by 9 and  cells C25:K33 are selected.)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While selected cells are displayed enter  =eigenvector(...) .  The argument of eigenvalue  should be the range of cells corresponding to the original matrix. (In the example this is C1:K9 so that the formula entered is =eigenvector(C1:K9)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Press Control+Shift+Enter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The eigenvectors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are the columns of the  matrix that is produced</a:t>
          </a:r>
          <a:endParaRPr lang="en-US">
            <a:effectLst/>
          </a:endParaRPr>
        </a:p>
        <a:p>
          <a:endParaRPr lang="en-US" sz="1100" b="1"/>
        </a:p>
      </xdr:txBody>
    </xdr:sp>
    <xdr:clientData/>
  </xdr:twoCellAnchor>
  <xdr:twoCellAnchor>
    <xdr:from>
      <xdr:col>0</xdr:col>
      <xdr:colOff>61914</xdr:colOff>
      <xdr:row>1</xdr:row>
      <xdr:rowOff>38100</xdr:rowOff>
    </xdr:from>
    <xdr:to>
      <xdr:col>1</xdr:col>
      <xdr:colOff>528638</xdr:colOff>
      <xdr:row>6</xdr:row>
      <xdr:rowOff>76199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57151" y="200025"/>
          <a:ext cx="1047749" cy="8477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Matrix for which eigenvalues and eigenvectors are required is in F1:N9</a:t>
          </a:r>
        </a:p>
      </xdr:txBody>
    </xdr:sp>
    <xdr:clientData/>
  </xdr:twoCellAnchor>
  <xdr:twoCellAnchor>
    <xdr:from>
      <xdr:col>0</xdr:col>
      <xdr:colOff>1</xdr:colOff>
      <xdr:row>13</xdr:row>
      <xdr:rowOff>66675</xdr:rowOff>
    </xdr:from>
    <xdr:to>
      <xdr:col>1</xdr:col>
      <xdr:colOff>571501</xdr:colOff>
      <xdr:row>17</xdr:row>
      <xdr:rowOff>76200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" y="2171700"/>
          <a:ext cx="1143000" cy="657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Eigenvalues are on diagonal in C13:K21</a:t>
          </a:r>
        </a:p>
      </xdr:txBody>
    </xdr:sp>
    <xdr:clientData/>
  </xdr:twoCellAnchor>
  <xdr:twoCellAnchor>
    <xdr:from>
      <xdr:col>0</xdr:col>
      <xdr:colOff>19050</xdr:colOff>
      <xdr:row>26</xdr:row>
      <xdr:rowOff>28575</xdr:rowOff>
    </xdr:from>
    <xdr:to>
      <xdr:col>1</xdr:col>
      <xdr:colOff>561975</xdr:colOff>
      <xdr:row>30</xdr:row>
      <xdr:rowOff>123825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9050" y="4238625"/>
          <a:ext cx="1114425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Eigenvectors</a:t>
          </a:r>
          <a:r>
            <a:rPr lang="en-US" sz="1100" baseline="0"/>
            <a:t> are in columns  of C25:K23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1:K33"/>
  <sheetViews>
    <sheetView topLeftCell="B1" workbookViewId="0">
      <selection activeCell="K33" sqref="K33"/>
    </sheetView>
  </sheetViews>
  <sheetFormatPr defaultRowHeight="12.75" x14ac:dyDescent="0.2"/>
  <cols>
    <col min="2" max="2" width="21" customWidth="1"/>
    <col min="3" max="6" width="12.5703125" bestFit="1" customWidth="1"/>
    <col min="7" max="7" width="13.140625" bestFit="1" customWidth="1"/>
    <col min="8" max="10" width="12.42578125" bestFit="1" customWidth="1"/>
    <col min="11" max="11" width="9.28515625" bestFit="1" customWidth="1"/>
    <col min="14" max="14" width="20.5703125" bestFit="1" customWidth="1"/>
  </cols>
  <sheetData>
    <row r="1" spans="3:11" x14ac:dyDescent="0.2">
      <c r="C1" s="1">
        <v>0.9042</v>
      </c>
      <c r="D1" s="1">
        <v>8.9200000000000002E-2</v>
      </c>
      <c r="E1" s="1">
        <v>6.1999999999999998E-3</v>
      </c>
      <c r="F1" s="1">
        <v>1E-4</v>
      </c>
      <c r="G1" s="1">
        <v>2.9999999999999997E-4</v>
      </c>
      <c r="H1" s="1">
        <v>0</v>
      </c>
      <c r="I1" s="1">
        <v>0</v>
      </c>
      <c r="J1" s="1">
        <v>0</v>
      </c>
      <c r="K1" s="1">
        <v>0</v>
      </c>
    </row>
    <row r="2" spans="3:11" x14ac:dyDescent="0.2">
      <c r="C2" s="1">
        <v>1.0200000000000001E-2</v>
      </c>
      <c r="D2" s="1">
        <v>0.9012</v>
      </c>
      <c r="E2" s="1">
        <v>8.3799999999999999E-2</v>
      </c>
      <c r="F2" s="1">
        <v>3.8E-3</v>
      </c>
      <c r="G2" s="1">
        <v>5.0000000000000001E-4</v>
      </c>
      <c r="H2" s="1">
        <v>2.0000000000000001E-4</v>
      </c>
      <c r="I2" s="1">
        <v>1E-4</v>
      </c>
      <c r="J2" s="1">
        <v>0</v>
      </c>
      <c r="K2" s="1">
        <v>2.0000000000000001E-4</v>
      </c>
    </row>
    <row r="3" spans="3:11" x14ac:dyDescent="0.2">
      <c r="C3" s="1">
        <v>5.9999999999999995E-4</v>
      </c>
      <c r="D3" s="1">
        <v>2.8199999999999999E-2</v>
      </c>
      <c r="E3" s="1">
        <v>0.90880000000000005</v>
      </c>
      <c r="F3" s="1">
        <v>5.5199999999999999E-2</v>
      </c>
      <c r="G3" s="1">
        <v>5.1000000000000004E-3</v>
      </c>
      <c r="H3" s="1">
        <v>1.1000000000000001E-3</v>
      </c>
      <c r="I3" s="1">
        <v>2.9999999999999997E-4</v>
      </c>
      <c r="J3" s="1">
        <v>1E-4</v>
      </c>
      <c r="K3" s="1">
        <v>5.9999999999999995E-4</v>
      </c>
    </row>
    <row r="4" spans="3:11" x14ac:dyDescent="0.2">
      <c r="C4" s="1">
        <v>5.0000000000000001E-4</v>
      </c>
      <c r="D4" s="1">
        <v>1.9E-3</v>
      </c>
      <c r="E4" s="1">
        <v>4.7899999999999998E-2</v>
      </c>
      <c r="F4" s="1">
        <v>0.89410000000000001</v>
      </c>
      <c r="G4" s="1">
        <v>4.3499999999999997E-2</v>
      </c>
      <c r="H4" s="1">
        <v>8.2000000000000007E-3</v>
      </c>
      <c r="I4" s="1">
        <v>1.8E-3</v>
      </c>
      <c r="J4" s="1">
        <v>2.0000000000000001E-4</v>
      </c>
      <c r="K4" s="1">
        <v>1.9E-3</v>
      </c>
    </row>
    <row r="5" spans="3:11" x14ac:dyDescent="0.2">
      <c r="C5" s="1">
        <v>1E-4</v>
      </c>
      <c r="D5" s="1">
        <v>5.9999999999999995E-4</v>
      </c>
      <c r="E5" s="1">
        <v>4.1000000000000003E-3</v>
      </c>
      <c r="F5" s="1">
        <v>6.2199999999999998E-2</v>
      </c>
      <c r="G5" s="1">
        <v>0.83430000000000004</v>
      </c>
      <c r="H5" s="1">
        <v>7.9699999999999993E-2</v>
      </c>
      <c r="I5" s="1">
        <v>5.8999999999999999E-3</v>
      </c>
      <c r="J5" s="1">
        <v>8.9999999999999998E-4</v>
      </c>
      <c r="K5" s="1">
        <v>1.2200000000000001E-2</v>
      </c>
    </row>
    <row r="6" spans="3:11" x14ac:dyDescent="0.2">
      <c r="C6" s="1">
        <v>1E-4</v>
      </c>
      <c r="D6" s="1">
        <v>4.0000000000000002E-4</v>
      </c>
      <c r="E6" s="1">
        <v>1.4E-3</v>
      </c>
      <c r="F6" s="1">
        <v>3.8E-3</v>
      </c>
      <c r="G6" s="1">
        <v>5.3199999999999997E-2</v>
      </c>
      <c r="H6" s="1">
        <v>0.82189999999999996</v>
      </c>
      <c r="I6" s="1">
        <v>6.4500000000000002E-2</v>
      </c>
      <c r="J6" s="1">
        <v>7.4000000000000003E-3</v>
      </c>
      <c r="K6" s="1">
        <v>4.7300000000000002E-2</v>
      </c>
    </row>
    <row r="7" spans="3:11" x14ac:dyDescent="0.2">
      <c r="C7" s="1">
        <v>0</v>
      </c>
      <c r="D7" s="1">
        <v>2.0000000000000001E-4</v>
      </c>
      <c r="E7" s="1">
        <v>2.0000000000000001E-4</v>
      </c>
      <c r="F7" s="1">
        <v>1.6000000000000001E-3</v>
      </c>
      <c r="G7" s="1">
        <v>5.3E-3</v>
      </c>
      <c r="H7" s="1">
        <v>9.4100000000000003E-2</v>
      </c>
      <c r="I7" s="1">
        <v>0.68430000000000002</v>
      </c>
      <c r="J7" s="1">
        <v>4.6699999999999998E-2</v>
      </c>
      <c r="K7" s="1">
        <v>0.1676</v>
      </c>
    </row>
    <row r="8" spans="3:11" x14ac:dyDescent="0.2">
      <c r="C8" s="1">
        <v>0</v>
      </c>
      <c r="D8" s="1">
        <v>0</v>
      </c>
      <c r="E8" s="1">
        <v>0</v>
      </c>
      <c r="F8" s="1">
        <v>0</v>
      </c>
      <c r="G8" s="1">
        <v>3.8999999999999998E-3</v>
      </c>
      <c r="H8" s="1">
        <v>2.8500000000000001E-2</v>
      </c>
      <c r="I8" s="1">
        <v>0.1066</v>
      </c>
      <c r="J8" s="1">
        <v>0.43540000000000001</v>
      </c>
      <c r="K8" s="1">
        <v>0.42559999999999998</v>
      </c>
    </row>
    <row r="9" spans="3:11" x14ac:dyDescent="0.2"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1</v>
      </c>
    </row>
    <row r="10" spans="3:11" x14ac:dyDescent="0.2">
      <c r="C10" s="1"/>
      <c r="D10" s="1"/>
      <c r="E10" s="1"/>
      <c r="F10" s="1"/>
      <c r="G10" s="1"/>
      <c r="H10" s="1"/>
      <c r="I10" s="1"/>
      <c r="J10" s="1"/>
      <c r="K10" s="1"/>
    </row>
    <row r="11" spans="3:11" x14ac:dyDescent="0.2">
      <c r="C11" s="1"/>
      <c r="D11" s="1"/>
      <c r="E11" s="1"/>
      <c r="F11" s="1"/>
      <c r="G11" s="1"/>
      <c r="H11" s="1"/>
      <c r="I11" s="1"/>
      <c r="J11" s="1"/>
      <c r="K11" s="1"/>
    </row>
    <row r="12" spans="3:11" x14ac:dyDescent="0.2">
      <c r="C12" s="1"/>
      <c r="D12" s="1"/>
      <c r="E12" s="1"/>
      <c r="F12" s="1"/>
      <c r="G12" s="1"/>
      <c r="H12" s="1"/>
      <c r="I12" s="1"/>
      <c r="J12" s="1"/>
      <c r="K12" s="1"/>
    </row>
    <row r="13" spans="3:11" x14ac:dyDescent="0.2">
      <c r="C13" s="1">
        <f t="array" ref="C13:K21">eigenvalue(C1:K9)</f>
        <v>0.98774605847514851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</row>
    <row r="14" spans="3:11" x14ac:dyDescent="0.2">
      <c r="C14" s="1">
        <v>0</v>
      </c>
      <c r="D14" s="1">
        <v>0.9361086619432375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</row>
    <row r="15" spans="3:11" x14ac:dyDescent="0.2">
      <c r="C15" s="1">
        <v>0</v>
      </c>
      <c r="D15" s="1">
        <v>0</v>
      </c>
      <c r="E15" s="1">
        <v>0.90445998963810992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</row>
    <row r="16" spans="3:11" x14ac:dyDescent="0.2">
      <c r="C16" s="1">
        <v>0</v>
      </c>
      <c r="D16" s="1">
        <v>0</v>
      </c>
      <c r="E16" s="1">
        <v>0</v>
      </c>
      <c r="F16" s="1">
        <v>0.87204244794957386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</row>
    <row r="17" spans="3:11" x14ac:dyDescent="0.2">
      <c r="C17" s="1">
        <v>0</v>
      </c>
      <c r="D17" s="1">
        <v>0</v>
      </c>
      <c r="E17" s="1">
        <v>0</v>
      </c>
      <c r="F17" s="1">
        <v>0</v>
      </c>
      <c r="G17" s="1">
        <v>0.65969004999393377</v>
      </c>
      <c r="H17" s="1">
        <v>0</v>
      </c>
      <c r="I17" s="1">
        <v>0</v>
      </c>
      <c r="J17" s="1">
        <v>0</v>
      </c>
      <c r="K17" s="1">
        <v>0</v>
      </c>
    </row>
    <row r="18" spans="3:11" x14ac:dyDescent="0.2"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0.8329362021677098</v>
      </c>
      <c r="I18" s="1">
        <v>0</v>
      </c>
      <c r="J18" s="1">
        <v>0</v>
      </c>
      <c r="K18" s="1">
        <v>0</v>
      </c>
    </row>
    <row r="19" spans="3:11" x14ac:dyDescent="0.2"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0.41670106723766642</v>
      </c>
      <c r="J19" s="1">
        <v>0</v>
      </c>
      <c r="K19" s="1">
        <v>0</v>
      </c>
    </row>
    <row r="20" spans="3:11" x14ac:dyDescent="0.2"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0.77451552259461953</v>
      </c>
      <c r="K20" s="1">
        <v>0</v>
      </c>
    </row>
    <row r="21" spans="3:11" x14ac:dyDescent="0.2"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1</v>
      </c>
    </row>
    <row r="22" spans="3:11" x14ac:dyDescent="0.2">
      <c r="C22" s="1"/>
      <c r="D22" s="1"/>
      <c r="E22" s="1"/>
      <c r="F22" s="1"/>
      <c r="G22" s="1"/>
      <c r="H22" s="1"/>
      <c r="I22" s="1"/>
      <c r="J22" s="1"/>
      <c r="K22" s="1"/>
    </row>
    <row r="23" spans="3:11" x14ac:dyDescent="0.2">
      <c r="C23" s="1"/>
      <c r="D23" s="1"/>
      <c r="E23" s="1"/>
      <c r="F23" s="1"/>
      <c r="G23" s="1"/>
      <c r="H23" s="1"/>
      <c r="I23" s="1"/>
      <c r="J23" s="1"/>
      <c r="K23" s="1"/>
    </row>
    <row r="24" spans="3:11" x14ac:dyDescent="0.2">
      <c r="C24" s="1"/>
      <c r="D24" s="1"/>
      <c r="E24" s="1"/>
      <c r="F24" s="1"/>
      <c r="G24" s="1"/>
      <c r="H24" s="1"/>
      <c r="I24" s="1"/>
      <c r="J24" s="1"/>
      <c r="K24" s="1"/>
    </row>
    <row r="25" spans="3:11" x14ac:dyDescent="0.2">
      <c r="C25" s="1">
        <f t="array" ref="C25:K33">eigenvector(C1:K9)</f>
        <v>0.5918262462959657</v>
      </c>
      <c r="D25" s="1">
        <v>-0.91034194176666505</v>
      </c>
      <c r="E25" s="1">
        <v>0.98191998791189428</v>
      </c>
      <c r="F25" s="1">
        <v>-0.91265037477309108</v>
      </c>
      <c r="G25" s="1">
        <v>6.4167229890036367E-5</v>
      </c>
      <c r="H25" s="1">
        <v>-0.66064019235613225</v>
      </c>
      <c r="I25" s="1">
        <v>-7.3395984882131868E-6</v>
      </c>
      <c r="J25" s="1">
        <v>-4.1955533235413067E-2</v>
      </c>
      <c r="K25" s="1">
        <v>0.33333333333333376</v>
      </c>
    </row>
    <row r="26" spans="3:11" x14ac:dyDescent="0.2">
      <c r="C26" s="1">
        <v>0.52196897769095552</v>
      </c>
      <c r="D26" s="1">
        <v>-0.32416408606205493</v>
      </c>
      <c r="E26" s="1">
        <v>1.0845054881877706E-2</v>
      </c>
      <c r="F26" s="1">
        <v>0.32880293780094511</v>
      </c>
      <c r="G26" s="1">
        <v>-8.6535829624100134E-4</v>
      </c>
      <c r="H26" s="1">
        <v>0.55373582021523726</v>
      </c>
      <c r="I26" s="1">
        <v>5.4207221883075957E-5</v>
      </c>
      <c r="J26" s="1">
        <v>7.1139474506313347E-2</v>
      </c>
      <c r="K26" s="1">
        <v>0.3333333333333337</v>
      </c>
    </row>
    <row r="27" spans="3:11" x14ac:dyDescent="0.2">
      <c r="C27" s="1">
        <v>0.44971301069367836</v>
      </c>
      <c r="D27" s="1">
        <v>-3.1991491217243331E-2</v>
      </c>
      <c r="E27" s="1">
        <v>-0.11914303019202176</v>
      </c>
      <c r="F27" s="1">
        <v>3.5851488381769569E-3</v>
      </c>
      <c r="G27" s="1">
        <v>2.5309959098396453E-3</v>
      </c>
      <c r="H27" s="1">
        <v>-0.38177536956323549</v>
      </c>
      <c r="I27" s="1">
        <v>-1.2847437289569729E-4</v>
      </c>
      <c r="J27" s="1">
        <v>-0.11267566297644367</v>
      </c>
      <c r="K27" s="1">
        <v>0.3333333333333337</v>
      </c>
    </row>
    <row r="28" spans="3:11" x14ac:dyDescent="0.2">
      <c r="C28" s="1">
        <v>0.34886173109007368</v>
      </c>
      <c r="D28" s="1">
        <v>0.14116243758486108</v>
      </c>
      <c r="E28" s="1">
        <v>-1.7836484915693923E-2</v>
      </c>
      <c r="F28" s="1">
        <v>-0.16813306651807028</v>
      </c>
      <c r="G28" s="1">
        <v>-2.3000061408779301E-2</v>
      </c>
      <c r="H28" s="1">
        <v>0.24403736264917925</v>
      </c>
      <c r="I28" s="1">
        <v>2.3419797740652454E-4</v>
      </c>
      <c r="J28" s="1">
        <v>0.30210323886981549</v>
      </c>
      <c r="K28" s="1">
        <v>0.33333333333333348</v>
      </c>
    </row>
    <row r="29" spans="3:11" x14ac:dyDescent="0.2">
      <c r="C29" s="1">
        <v>0.2067017690899817</v>
      </c>
      <c r="D29" s="1">
        <v>0.17291401980092749</v>
      </c>
      <c r="E29" s="1">
        <v>9.4601875095818272E-2</v>
      </c>
      <c r="F29" s="1">
        <v>4.6550875391110989E-2</v>
      </c>
      <c r="G29" s="1">
        <v>0.16036088450709635</v>
      </c>
      <c r="H29" s="1">
        <v>9.699166593338937E-2</v>
      </c>
      <c r="I29" s="1">
        <v>-1.61372149283246E-3</v>
      </c>
      <c r="J29" s="1">
        <v>-0.78760312499187835</v>
      </c>
      <c r="K29" s="1">
        <v>0.33333333333333331</v>
      </c>
    </row>
    <row r="30" spans="3:11" x14ac:dyDescent="0.2">
      <c r="C30" s="1">
        <v>9.4954751070079987E-2</v>
      </c>
      <c r="D30" s="1">
        <v>0.11206926467170775</v>
      </c>
      <c r="E30" s="1">
        <v>9.8276717391591523E-2</v>
      </c>
      <c r="F30" s="1">
        <v>0.14545291062617122</v>
      </c>
      <c r="G30" s="1">
        <v>-0.39907385482102614</v>
      </c>
      <c r="H30" s="1">
        <v>-0.16703073085482989</v>
      </c>
      <c r="I30" s="1">
        <v>1.014177474529492E-2</v>
      </c>
      <c r="J30" s="1">
        <v>0.33103505292769497</v>
      </c>
      <c r="K30" s="1">
        <v>0.33333333333333304</v>
      </c>
    </row>
    <row r="31" spans="3:11" x14ac:dyDescent="0.2">
      <c r="C31" s="1">
        <v>3.7632442042357439E-2</v>
      </c>
      <c r="D31" s="1">
        <v>4.9521498886864836E-2</v>
      </c>
      <c r="E31" s="1">
        <v>4.7791815831653331E-2</v>
      </c>
      <c r="F31" s="1">
        <v>8.0492097301163926E-2</v>
      </c>
      <c r="G31" s="1">
        <v>0.83275237937076729</v>
      </c>
      <c r="H31" s="1">
        <v>-0.11235817100700743</v>
      </c>
      <c r="I31" s="1">
        <v>-0.17533771313909663</v>
      </c>
      <c r="J31" s="1">
        <v>0.37502089906596953</v>
      </c>
      <c r="K31" s="1">
        <v>0.33333333333333304</v>
      </c>
    </row>
    <row r="32" spans="3:11" x14ac:dyDescent="0.2">
      <c r="C32" s="1">
        <v>1.3621832746367002E-2</v>
      </c>
      <c r="D32" s="1">
        <v>1.8268768241808547E-2</v>
      </c>
      <c r="E32" s="1">
        <v>1.7619156416569432E-2</v>
      </c>
      <c r="F32" s="1">
        <v>2.9560602730648651E-2</v>
      </c>
      <c r="G32" s="1">
        <v>0.34786744320674284</v>
      </c>
      <c r="H32" s="1">
        <v>-4.115220015778024E-2</v>
      </c>
      <c r="I32" s="1">
        <v>0.98445474873782879</v>
      </c>
      <c r="J32" s="1">
        <v>0.13664981864247636</v>
      </c>
      <c r="K32" s="1">
        <v>0.33333333333333293</v>
      </c>
    </row>
    <row r="33" spans="3:11" x14ac:dyDescent="0.2">
      <c r="C33" s="1">
        <v>2.2421346663758883E-40</v>
      </c>
      <c r="D33" s="1">
        <v>4.8588535111315658E-44</v>
      </c>
      <c r="E33" s="1">
        <v>1.0798400970312538E-48</v>
      </c>
      <c r="F33" s="1">
        <v>3.6013390024654947E-46</v>
      </c>
      <c r="G33" s="1">
        <v>5.4024188686987898E-47</v>
      </c>
      <c r="H33" s="1">
        <v>1.3105287184053366E-43</v>
      </c>
      <c r="I33" s="1">
        <v>4.1167109470842419E-47</v>
      </c>
      <c r="J33" s="1">
        <v>6.4322545995219868E-47</v>
      </c>
      <c r="K33" s="1">
        <v>0.33333333333333293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J256"/>
  <sheetViews>
    <sheetView tabSelected="1" zoomScaleNormal="100" workbookViewId="0">
      <selection activeCell="B8" sqref="B8"/>
    </sheetView>
  </sheetViews>
  <sheetFormatPr defaultColWidth="9" defaultRowHeight="12.75" x14ac:dyDescent="0.2"/>
  <cols>
    <col min="1" max="1" width="10.42578125" style="3" bestFit="1" customWidth="1"/>
    <col min="2" max="11" width="9" style="3"/>
    <col min="12" max="12" width="9.5703125" style="3" bestFit="1" customWidth="1"/>
    <col min="13" max="36" width="9" style="3"/>
    <col min="37" max="37" width="9" style="8"/>
    <col min="38" max="48" width="9" style="3"/>
    <col min="49" max="50" width="9" style="5"/>
    <col min="51" max="52" width="10.42578125" style="3" bestFit="1" customWidth="1"/>
    <col min="53" max="58" width="9" style="3"/>
    <col min="59" max="59" width="9" style="3" customWidth="1"/>
    <col min="60" max="16384" width="9" style="3"/>
  </cols>
  <sheetData>
    <row r="1" spans="1:62" x14ac:dyDescent="0.2">
      <c r="A1" s="3" t="s">
        <v>0</v>
      </c>
      <c r="N1" s="3" t="s">
        <v>1</v>
      </c>
      <c r="Z1" s="3" t="s">
        <v>26</v>
      </c>
      <c r="AK1" s="3"/>
      <c r="AL1" s="10" t="s">
        <v>23</v>
      </c>
      <c r="AM1" s="2"/>
      <c r="AN1" s="2"/>
      <c r="AO1" s="2"/>
      <c r="AP1" s="2"/>
      <c r="AQ1" s="2"/>
      <c r="AR1" s="2"/>
      <c r="AS1" s="2"/>
      <c r="AT1" s="2"/>
      <c r="AU1" s="2"/>
      <c r="AV1" s="2"/>
      <c r="AW1" s="3"/>
      <c r="AY1" s="5"/>
      <c r="AZ1" s="5"/>
      <c r="BA1" s="5"/>
      <c r="BB1" s="2" t="s">
        <v>2</v>
      </c>
      <c r="BC1" s="12" t="s">
        <v>3</v>
      </c>
      <c r="BD1" s="14" t="s">
        <v>15</v>
      </c>
      <c r="BE1" s="17" t="s">
        <v>32</v>
      </c>
    </row>
    <row r="2" spans="1:62" x14ac:dyDescent="0.2">
      <c r="A2" s="6" t="s">
        <v>4</v>
      </c>
      <c r="B2" s="6" t="s">
        <v>33</v>
      </c>
      <c r="C2" s="6" t="s">
        <v>34</v>
      </c>
      <c r="D2" s="6" t="s">
        <v>35</v>
      </c>
      <c r="E2" s="6" t="s">
        <v>36</v>
      </c>
      <c r="F2" s="6" t="s">
        <v>37</v>
      </c>
      <c r="G2" s="6" t="s">
        <v>38</v>
      </c>
      <c r="H2" s="6" t="s">
        <v>39</v>
      </c>
      <c r="I2" s="6" t="s">
        <v>40</v>
      </c>
      <c r="J2" s="6" t="s">
        <v>41</v>
      </c>
      <c r="K2" s="6" t="s">
        <v>42</v>
      </c>
      <c r="L2" s="6" t="s">
        <v>43</v>
      </c>
      <c r="N2" s="6" t="s">
        <v>33</v>
      </c>
      <c r="O2" s="6" t="s">
        <v>34</v>
      </c>
      <c r="P2" s="6" t="s">
        <v>35</v>
      </c>
      <c r="Q2" s="6" t="s">
        <v>36</v>
      </c>
      <c r="R2" s="6" t="s">
        <v>37</v>
      </c>
      <c r="S2" s="6" t="s">
        <v>38</v>
      </c>
      <c r="T2" s="6" t="s">
        <v>39</v>
      </c>
      <c r="U2" s="6" t="s">
        <v>40</v>
      </c>
      <c r="V2" s="6" t="s">
        <v>41</v>
      </c>
      <c r="W2" s="6" t="s">
        <v>42</v>
      </c>
      <c r="X2" s="6" t="s">
        <v>43</v>
      </c>
      <c r="Z2" s="6"/>
      <c r="AA2" s="6">
        <v>1</v>
      </c>
      <c r="AB2" s="6">
        <v>2</v>
      </c>
      <c r="AC2" s="6">
        <v>3</v>
      </c>
      <c r="AD2" s="6">
        <v>4</v>
      </c>
      <c r="AE2" s="6">
        <v>5</v>
      </c>
      <c r="AF2" s="6">
        <v>6</v>
      </c>
      <c r="AG2" s="6">
        <v>7</v>
      </c>
      <c r="AH2" s="6">
        <v>8</v>
      </c>
      <c r="AI2" s="6">
        <v>9</v>
      </c>
      <c r="AJ2" s="6">
        <v>10</v>
      </c>
      <c r="AK2" s="3"/>
      <c r="AL2" s="10"/>
      <c r="AM2" s="2" t="s">
        <v>33</v>
      </c>
      <c r="AN2" s="2" t="s">
        <v>34</v>
      </c>
      <c r="AO2" s="2" t="s">
        <v>35</v>
      </c>
      <c r="AP2" s="2" t="s">
        <v>36</v>
      </c>
      <c r="AQ2" s="2" t="s">
        <v>37</v>
      </c>
      <c r="AR2" s="2" t="s">
        <v>38</v>
      </c>
      <c r="AS2" s="2" t="s">
        <v>39</v>
      </c>
      <c r="AT2" s="2" t="s">
        <v>40</v>
      </c>
      <c r="AU2" s="2" t="s">
        <v>41</v>
      </c>
      <c r="AV2" s="2" t="s">
        <v>42</v>
      </c>
      <c r="AW2" s="3"/>
      <c r="AY2" s="5"/>
      <c r="AZ2" s="5"/>
      <c r="BA2" s="5" t="s">
        <v>6</v>
      </c>
      <c r="BB2" s="2"/>
      <c r="BC2" s="12"/>
      <c r="BD2" s="14"/>
      <c r="BE2" s="17"/>
      <c r="BG2" s="4" t="s">
        <v>1</v>
      </c>
    </row>
    <row r="3" spans="1:62" x14ac:dyDescent="0.2">
      <c r="A3" s="28">
        <v>44155</v>
      </c>
      <c r="Z3" s="6">
        <v>1</v>
      </c>
      <c r="AK3" s="3"/>
      <c r="AL3" s="9" t="s">
        <v>9</v>
      </c>
      <c r="AM3" s="5" t="s">
        <v>17</v>
      </c>
      <c r="AN3" s="5" t="s">
        <v>17</v>
      </c>
      <c r="AO3" s="5" t="s">
        <v>17</v>
      </c>
      <c r="AP3" s="5" t="s">
        <v>17</v>
      </c>
      <c r="AQ3" s="5" t="s">
        <v>17</v>
      </c>
      <c r="AR3" s="5" t="s">
        <v>17</v>
      </c>
      <c r="AS3" s="5" t="s">
        <v>17</v>
      </c>
      <c r="AT3" s="5" t="s">
        <v>17</v>
      </c>
      <c r="AU3" s="5" t="s">
        <v>17</v>
      </c>
      <c r="AV3" s="5" t="s">
        <v>17</v>
      </c>
      <c r="AY3" s="5"/>
      <c r="AZ3" s="5"/>
      <c r="BA3" s="5" t="s">
        <v>8</v>
      </c>
      <c r="BB3" s="2"/>
      <c r="BC3" s="12"/>
      <c r="BD3" s="15"/>
      <c r="BE3" s="18"/>
      <c r="BG3" s="2" t="s">
        <v>2</v>
      </c>
      <c r="BH3" s="12" t="s">
        <v>3</v>
      </c>
      <c r="BI3" s="14" t="s">
        <v>15</v>
      </c>
      <c r="BJ3" s="17" t="s">
        <v>32</v>
      </c>
    </row>
    <row r="4" spans="1:62" x14ac:dyDescent="0.2">
      <c r="A4" s="28">
        <v>44158</v>
      </c>
      <c r="Z4" s="6">
        <v>2</v>
      </c>
      <c r="AK4" s="3"/>
      <c r="AL4" s="8" t="s">
        <v>7</v>
      </c>
      <c r="AW4" s="3"/>
      <c r="AY4" s="5"/>
      <c r="AZ4" s="5"/>
      <c r="BA4" s="5" t="s">
        <v>28</v>
      </c>
      <c r="BB4" s="2"/>
      <c r="BC4" s="12"/>
      <c r="BD4" s="14"/>
      <c r="BE4" s="17"/>
      <c r="BF4" s="3" t="s">
        <v>44</v>
      </c>
      <c r="BG4" s="2"/>
      <c r="BH4" s="12"/>
      <c r="BI4" s="14"/>
      <c r="BJ4" s="17"/>
    </row>
    <row r="5" spans="1:62" x14ac:dyDescent="0.2">
      <c r="Z5" s="6">
        <v>3</v>
      </c>
      <c r="AK5" s="3"/>
      <c r="AL5" s="8" t="s">
        <v>16</v>
      </c>
      <c r="AW5" s="3"/>
      <c r="AY5" s="5"/>
      <c r="AZ5" s="3" t="s">
        <v>45</v>
      </c>
      <c r="BA5" s="3">
        <v>0</v>
      </c>
    </row>
    <row r="6" spans="1:62" x14ac:dyDescent="0.2">
      <c r="Z6" s="6">
        <v>4</v>
      </c>
      <c r="AK6" s="3"/>
      <c r="AL6" s="8"/>
      <c r="AW6" s="3"/>
      <c r="AY6" s="5"/>
      <c r="AZ6" s="3" t="s">
        <v>46</v>
      </c>
      <c r="BA6" s="3">
        <v>1</v>
      </c>
    </row>
    <row r="7" spans="1:62" x14ac:dyDescent="0.2">
      <c r="Z7" s="6">
        <v>5</v>
      </c>
      <c r="AK7" s="3"/>
      <c r="AL7" s="11" t="s">
        <v>24</v>
      </c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Y7" s="5"/>
    </row>
    <row r="8" spans="1:62" x14ac:dyDescent="0.2">
      <c r="Z8" s="6">
        <v>6</v>
      </c>
      <c r="AK8" s="3"/>
      <c r="AL8" s="11"/>
      <c r="AM8" s="12" t="s">
        <v>33</v>
      </c>
      <c r="AN8" s="12" t="s">
        <v>34</v>
      </c>
      <c r="AO8" s="12" t="s">
        <v>35</v>
      </c>
      <c r="AP8" s="12" t="s">
        <v>36</v>
      </c>
      <c r="AQ8" s="12" t="s">
        <v>37</v>
      </c>
      <c r="AR8" s="12" t="s">
        <v>38</v>
      </c>
      <c r="AS8" s="12" t="s">
        <v>39</v>
      </c>
      <c r="AT8" s="12" t="s">
        <v>40</v>
      </c>
      <c r="AU8" s="12" t="s">
        <v>41</v>
      </c>
      <c r="AV8" s="12" t="s">
        <v>42</v>
      </c>
      <c r="AW8" s="12" t="s">
        <v>5</v>
      </c>
      <c r="AY8" s="5"/>
    </row>
    <row r="9" spans="1:62" x14ac:dyDescent="0.2">
      <c r="Z9" s="6">
        <v>7</v>
      </c>
      <c r="AK9" s="3"/>
      <c r="AL9" s="8" t="s">
        <v>8</v>
      </c>
      <c r="AW9" s="7"/>
      <c r="AY9" s="5"/>
    </row>
    <row r="10" spans="1:62" x14ac:dyDescent="0.2">
      <c r="Z10" s="6">
        <v>8</v>
      </c>
      <c r="AK10" s="3"/>
      <c r="AL10" s="8" t="s">
        <v>13</v>
      </c>
      <c r="AW10" s="3"/>
      <c r="AY10" s="5"/>
    </row>
    <row r="11" spans="1:62" x14ac:dyDescent="0.2">
      <c r="Z11" s="6">
        <v>9</v>
      </c>
      <c r="AK11" s="3"/>
      <c r="AL11" s="8" t="s">
        <v>9</v>
      </c>
      <c r="AW11" s="3"/>
      <c r="AY11" s="5"/>
    </row>
    <row r="12" spans="1:62" x14ac:dyDescent="0.2">
      <c r="Z12" s="6">
        <v>10</v>
      </c>
      <c r="AK12" s="3"/>
      <c r="AL12" s="8" t="s">
        <v>7</v>
      </c>
      <c r="AW12" s="7"/>
      <c r="AY12" s="5"/>
    </row>
    <row r="13" spans="1:62" x14ac:dyDescent="0.2">
      <c r="AK13" s="3"/>
      <c r="AL13" s="8" t="s">
        <v>16</v>
      </c>
      <c r="AW13" s="7"/>
      <c r="AY13" s="5"/>
    </row>
    <row r="14" spans="1:62" x14ac:dyDescent="0.2">
      <c r="Z14" s="3" t="s">
        <v>10</v>
      </c>
      <c r="AK14" s="3"/>
      <c r="AL14" s="8"/>
      <c r="AW14" s="3"/>
      <c r="AY14" s="5"/>
    </row>
    <row r="15" spans="1:62" x14ac:dyDescent="0.2">
      <c r="Z15" s="6"/>
      <c r="AA15" s="6" t="s">
        <v>33</v>
      </c>
      <c r="AB15" s="6" t="s">
        <v>34</v>
      </c>
      <c r="AC15" s="6" t="s">
        <v>35</v>
      </c>
      <c r="AD15" s="6" t="s">
        <v>36</v>
      </c>
      <c r="AE15" s="6" t="s">
        <v>37</v>
      </c>
      <c r="AF15" s="6" t="s">
        <v>38</v>
      </c>
      <c r="AG15" s="6" t="s">
        <v>39</v>
      </c>
      <c r="AH15" s="6" t="s">
        <v>40</v>
      </c>
      <c r="AI15" s="6" t="s">
        <v>41</v>
      </c>
      <c r="AJ15" s="6" t="s">
        <v>42</v>
      </c>
      <c r="AK15" s="3"/>
      <c r="AL15" s="13" t="s">
        <v>25</v>
      </c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Y15" s="5"/>
    </row>
    <row r="16" spans="1:62" x14ac:dyDescent="0.2">
      <c r="Z16" s="6" t="s">
        <v>33</v>
      </c>
      <c r="AA16" s="19"/>
      <c r="AB16" s="20"/>
      <c r="AC16" s="20"/>
      <c r="AD16" s="20"/>
      <c r="AE16" s="20"/>
      <c r="AF16" s="20"/>
      <c r="AG16" s="20"/>
      <c r="AH16" s="20"/>
      <c r="AI16" s="20"/>
      <c r="AJ16" s="21"/>
      <c r="AK16" s="3"/>
      <c r="AL16" s="13" t="s">
        <v>12</v>
      </c>
      <c r="AM16" s="14" t="s">
        <v>33</v>
      </c>
      <c r="AN16" s="14" t="s">
        <v>34</v>
      </c>
      <c r="AO16" s="14" t="s">
        <v>35</v>
      </c>
      <c r="AP16" s="14" t="s">
        <v>36</v>
      </c>
      <c r="AQ16" s="14" t="s">
        <v>37</v>
      </c>
      <c r="AR16" s="14" t="s">
        <v>38</v>
      </c>
      <c r="AS16" s="14" t="s">
        <v>39</v>
      </c>
      <c r="AT16" s="14" t="s">
        <v>40</v>
      </c>
      <c r="AU16" s="14" t="s">
        <v>41</v>
      </c>
      <c r="AV16" s="14" t="s">
        <v>42</v>
      </c>
      <c r="AW16" s="14" t="s">
        <v>14</v>
      </c>
      <c r="AY16" s="5"/>
    </row>
    <row r="17" spans="26:51" x14ac:dyDescent="0.2">
      <c r="Z17" s="6" t="s">
        <v>34</v>
      </c>
      <c r="AA17" s="22"/>
      <c r="AB17" s="23"/>
      <c r="AC17" s="23"/>
      <c r="AD17" s="23"/>
      <c r="AE17" s="23"/>
      <c r="AF17" s="23"/>
      <c r="AG17" s="23"/>
      <c r="AH17" s="23"/>
      <c r="AI17" s="23"/>
      <c r="AJ17" s="24"/>
      <c r="AK17" s="3"/>
      <c r="AL17" s="3">
        <v>1</v>
      </c>
      <c r="AM17" s="5"/>
      <c r="AN17" s="5"/>
      <c r="AO17" s="5"/>
      <c r="AP17" s="5"/>
      <c r="AQ17" s="5"/>
      <c r="AR17" s="5"/>
      <c r="AS17" s="5"/>
      <c r="AT17" s="5"/>
      <c r="AU17" s="5"/>
      <c r="AV17" s="5"/>
      <c r="AY17" s="5"/>
    </row>
    <row r="18" spans="26:51" x14ac:dyDescent="0.2">
      <c r="Z18" s="6" t="s">
        <v>35</v>
      </c>
      <c r="AA18" s="22"/>
      <c r="AB18" s="23"/>
      <c r="AC18" s="23"/>
      <c r="AD18" s="23"/>
      <c r="AE18" s="23"/>
      <c r="AF18" s="23"/>
      <c r="AG18" s="23"/>
      <c r="AH18" s="23"/>
      <c r="AI18" s="23"/>
      <c r="AJ18" s="24"/>
      <c r="AK18" s="3"/>
      <c r="AL18" s="3">
        <v>2</v>
      </c>
      <c r="AM18" s="5"/>
      <c r="AN18" s="5"/>
      <c r="AO18" s="5"/>
      <c r="AP18" s="5"/>
      <c r="AQ18" s="5"/>
      <c r="AR18" s="5"/>
      <c r="AS18" s="5"/>
      <c r="AT18" s="5"/>
      <c r="AU18" s="5"/>
      <c r="AV18" s="5"/>
      <c r="AY18" s="5"/>
    </row>
    <row r="19" spans="26:51" x14ac:dyDescent="0.2">
      <c r="Z19" s="6" t="s">
        <v>36</v>
      </c>
      <c r="AA19" s="22"/>
      <c r="AB19" s="23"/>
      <c r="AC19" s="23"/>
      <c r="AD19" s="23"/>
      <c r="AE19" s="23"/>
      <c r="AF19" s="23"/>
      <c r="AG19" s="23"/>
      <c r="AH19" s="23"/>
      <c r="AI19" s="23"/>
      <c r="AJ19" s="24"/>
      <c r="AK19" s="3"/>
      <c r="AL19" s="3">
        <v>3</v>
      </c>
      <c r="AM19" s="5"/>
      <c r="AN19" s="5"/>
      <c r="AO19" s="5"/>
      <c r="AP19" s="5"/>
      <c r="AQ19" s="5"/>
      <c r="AR19" s="5"/>
      <c r="AS19" s="5"/>
      <c r="AT19" s="5"/>
      <c r="AU19" s="5"/>
      <c r="AV19" s="5"/>
      <c r="AY19" s="5"/>
    </row>
    <row r="20" spans="26:51" x14ac:dyDescent="0.2">
      <c r="Z20" s="6" t="s">
        <v>37</v>
      </c>
      <c r="AA20" s="22"/>
      <c r="AB20" s="23"/>
      <c r="AC20" s="23"/>
      <c r="AD20" s="23"/>
      <c r="AE20" s="23"/>
      <c r="AF20" s="23"/>
      <c r="AG20" s="23"/>
      <c r="AH20" s="23"/>
      <c r="AI20" s="23"/>
      <c r="AJ20" s="24"/>
      <c r="AK20" s="3"/>
      <c r="AL20" s="3">
        <v>4</v>
      </c>
      <c r="AM20" s="5"/>
      <c r="AN20" s="5"/>
      <c r="AO20" s="5"/>
      <c r="AP20" s="5"/>
      <c r="AQ20" s="5"/>
      <c r="AR20" s="5"/>
      <c r="AS20" s="5"/>
      <c r="AT20" s="5"/>
      <c r="AU20" s="5"/>
      <c r="AV20" s="5"/>
      <c r="AY20" s="5"/>
    </row>
    <row r="21" spans="26:51" x14ac:dyDescent="0.2">
      <c r="Z21" s="6" t="s">
        <v>38</v>
      </c>
      <c r="AA21" s="22"/>
      <c r="AB21" s="23"/>
      <c r="AC21" s="23"/>
      <c r="AD21" s="23"/>
      <c r="AE21" s="23"/>
      <c r="AF21" s="23"/>
      <c r="AG21" s="23"/>
      <c r="AH21" s="23"/>
      <c r="AI21" s="23"/>
      <c r="AJ21" s="24"/>
      <c r="AK21" s="3"/>
      <c r="AL21" s="8" t="s">
        <v>29</v>
      </c>
      <c r="AM21" s="3">
        <v>0.1</v>
      </c>
      <c r="AN21" s="3">
        <v>0.1</v>
      </c>
      <c r="AO21" s="3">
        <v>0.1</v>
      </c>
      <c r="AP21" s="3">
        <v>0.1</v>
      </c>
      <c r="AQ21" s="3">
        <v>0.1</v>
      </c>
      <c r="AR21" s="3">
        <v>0.1</v>
      </c>
      <c r="AS21" s="3">
        <v>0.1</v>
      </c>
      <c r="AT21" s="3">
        <v>0.1</v>
      </c>
      <c r="AU21" s="3">
        <v>0.1</v>
      </c>
      <c r="AV21" s="3">
        <v>0.1</v>
      </c>
      <c r="AW21" s="3"/>
      <c r="AY21" s="5"/>
    </row>
    <row r="22" spans="26:51" x14ac:dyDescent="0.2">
      <c r="Z22" s="6" t="s">
        <v>39</v>
      </c>
      <c r="AA22" s="22"/>
      <c r="AB22" s="23"/>
      <c r="AC22" s="23"/>
      <c r="AD22" s="23"/>
      <c r="AE22" s="23"/>
      <c r="AF22" s="23"/>
      <c r="AG22" s="23"/>
      <c r="AH22" s="23"/>
      <c r="AI22" s="23"/>
      <c r="AJ22" s="24"/>
      <c r="AK22" s="3"/>
      <c r="AL22" s="8" t="s">
        <v>18</v>
      </c>
      <c r="AW22" s="3"/>
      <c r="AY22" s="5"/>
    </row>
    <row r="23" spans="26:51" x14ac:dyDescent="0.2">
      <c r="Z23" s="6" t="s">
        <v>40</v>
      </c>
      <c r="AA23" s="22"/>
      <c r="AB23" s="23"/>
      <c r="AC23" s="23"/>
      <c r="AD23" s="23"/>
      <c r="AE23" s="23"/>
      <c r="AF23" s="23"/>
      <c r="AG23" s="23"/>
      <c r="AH23" s="23"/>
      <c r="AI23" s="23"/>
      <c r="AJ23" s="24"/>
      <c r="AK23" s="3"/>
      <c r="AL23" s="13" t="s">
        <v>12</v>
      </c>
      <c r="AM23" s="14" t="s">
        <v>33</v>
      </c>
      <c r="AN23" s="14" t="s">
        <v>34</v>
      </c>
      <c r="AO23" s="14" t="s">
        <v>35</v>
      </c>
      <c r="AP23" s="14" t="s">
        <v>36</v>
      </c>
      <c r="AQ23" s="14" t="s">
        <v>37</v>
      </c>
      <c r="AR23" s="14" t="s">
        <v>38</v>
      </c>
      <c r="AS23" s="14" t="s">
        <v>39</v>
      </c>
      <c r="AT23" s="14" t="s">
        <v>40</v>
      </c>
      <c r="AU23" s="14" t="s">
        <v>41</v>
      </c>
      <c r="AV23" s="14" t="s">
        <v>42</v>
      </c>
      <c r="AW23" s="14" t="s">
        <v>14</v>
      </c>
      <c r="AY23" s="5"/>
    </row>
    <row r="24" spans="26:51" x14ac:dyDescent="0.2">
      <c r="Z24" s="6" t="s">
        <v>41</v>
      </c>
      <c r="AA24" s="22"/>
      <c r="AB24" s="23"/>
      <c r="AC24" s="23"/>
      <c r="AD24" s="23"/>
      <c r="AE24" s="23"/>
      <c r="AF24" s="23"/>
      <c r="AG24" s="23"/>
      <c r="AH24" s="23"/>
      <c r="AI24" s="23"/>
      <c r="AJ24" s="24"/>
      <c r="AK24" s="3"/>
      <c r="AL24" s="3">
        <v>1</v>
      </c>
      <c r="AW24" s="3"/>
      <c r="AY24" s="5"/>
    </row>
    <row r="25" spans="26:51" x14ac:dyDescent="0.2">
      <c r="Z25" s="6" t="s">
        <v>42</v>
      </c>
      <c r="AA25" s="25"/>
      <c r="AB25" s="26"/>
      <c r="AC25" s="26"/>
      <c r="AD25" s="26"/>
      <c r="AE25" s="26"/>
      <c r="AF25" s="26"/>
      <c r="AG25" s="26"/>
      <c r="AH25" s="26"/>
      <c r="AI25" s="26"/>
      <c r="AJ25" s="27"/>
      <c r="AK25" s="3"/>
      <c r="AL25" s="3">
        <v>2</v>
      </c>
      <c r="AW25" s="3"/>
      <c r="AY25" s="5"/>
    </row>
    <row r="26" spans="26:51" x14ac:dyDescent="0.2">
      <c r="AK26" s="3"/>
      <c r="AL26" s="3">
        <v>3</v>
      </c>
      <c r="AW26" s="3"/>
      <c r="AY26" s="5"/>
    </row>
    <row r="27" spans="26:51" x14ac:dyDescent="0.2">
      <c r="Z27" s="3" t="s">
        <v>11</v>
      </c>
      <c r="AK27" s="3"/>
      <c r="AL27" s="3">
        <v>4</v>
      </c>
      <c r="AW27" s="3"/>
      <c r="AY27" s="5"/>
    </row>
    <row r="28" spans="26:51" x14ac:dyDescent="0.2">
      <c r="Z28" s="6"/>
      <c r="AA28" s="6">
        <v>1</v>
      </c>
      <c r="AB28" s="6">
        <v>2</v>
      </c>
      <c r="AC28" s="6">
        <v>3</v>
      </c>
      <c r="AD28" s="6">
        <v>4</v>
      </c>
      <c r="AE28" s="6">
        <v>5</v>
      </c>
      <c r="AF28" s="6">
        <v>6</v>
      </c>
      <c r="AG28" s="6">
        <v>7</v>
      </c>
      <c r="AH28" s="6">
        <v>8</v>
      </c>
      <c r="AI28" s="6">
        <v>9</v>
      </c>
      <c r="AJ28" s="6">
        <v>10</v>
      </c>
      <c r="AK28" s="3"/>
      <c r="AL28" s="8" t="s">
        <v>30</v>
      </c>
      <c r="AW28" s="7"/>
      <c r="AY28" s="5"/>
    </row>
    <row r="29" spans="26:51" x14ac:dyDescent="0.2">
      <c r="Z29" s="6" t="s">
        <v>33</v>
      </c>
      <c r="AA29" s="19"/>
      <c r="AB29" s="20"/>
      <c r="AC29" s="20"/>
      <c r="AD29" s="20"/>
      <c r="AE29" s="20"/>
      <c r="AF29" s="20"/>
      <c r="AG29" s="20"/>
      <c r="AH29" s="20"/>
      <c r="AI29" s="20"/>
      <c r="AJ29" s="21"/>
      <c r="AK29" s="3"/>
      <c r="AL29" s="8" t="s">
        <v>7</v>
      </c>
      <c r="AW29" s="7"/>
      <c r="AY29" s="5"/>
    </row>
    <row r="30" spans="26:51" x14ac:dyDescent="0.2">
      <c r="Z30" s="6" t="s">
        <v>34</v>
      </c>
      <c r="AA30" s="22"/>
      <c r="AB30" s="23"/>
      <c r="AC30" s="23"/>
      <c r="AD30" s="23"/>
      <c r="AE30" s="23"/>
      <c r="AF30" s="23"/>
      <c r="AG30" s="23"/>
      <c r="AH30" s="23"/>
      <c r="AI30" s="23"/>
      <c r="AJ30" s="24"/>
      <c r="AK30" s="3"/>
      <c r="AL30" s="8" t="s">
        <v>16</v>
      </c>
      <c r="AW30" s="7"/>
      <c r="AY30" s="5"/>
    </row>
    <row r="31" spans="26:51" x14ac:dyDescent="0.2">
      <c r="Z31" s="6" t="s">
        <v>35</v>
      </c>
      <c r="AA31" s="22"/>
      <c r="AB31" s="23"/>
      <c r="AC31" s="23"/>
      <c r="AD31" s="23"/>
      <c r="AE31" s="23"/>
      <c r="AF31" s="23"/>
      <c r="AG31" s="23"/>
      <c r="AH31" s="23"/>
      <c r="AI31" s="23"/>
      <c r="AJ31" s="24"/>
      <c r="AK31" s="3"/>
      <c r="AL31" s="8"/>
      <c r="AW31" s="3"/>
      <c r="AY31" s="5"/>
    </row>
    <row r="32" spans="26:51" x14ac:dyDescent="0.2">
      <c r="Z32" s="6" t="s">
        <v>36</v>
      </c>
      <c r="AA32" s="22"/>
      <c r="AB32" s="23"/>
      <c r="AC32" s="23"/>
      <c r="AD32" s="23"/>
      <c r="AE32" s="23"/>
      <c r="AF32" s="23"/>
      <c r="AG32" s="23"/>
      <c r="AH32" s="23"/>
      <c r="AI32" s="23"/>
      <c r="AJ32" s="24"/>
      <c r="AK32" s="3"/>
      <c r="AL32" s="16" t="s">
        <v>31</v>
      </c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5"/>
    </row>
    <row r="33" spans="26:51" x14ac:dyDescent="0.2">
      <c r="Z33" s="6" t="s">
        <v>37</v>
      </c>
      <c r="AA33" s="22"/>
      <c r="AB33" s="23"/>
      <c r="AC33" s="23"/>
      <c r="AD33" s="23"/>
      <c r="AE33" s="23"/>
      <c r="AF33" s="23"/>
      <c r="AG33" s="23"/>
      <c r="AH33" s="23"/>
      <c r="AI33" s="23"/>
      <c r="AJ33" s="24"/>
      <c r="AK33" s="3"/>
      <c r="AL33" s="16" t="s">
        <v>18</v>
      </c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5"/>
    </row>
    <row r="34" spans="26:51" x14ac:dyDescent="0.2">
      <c r="Z34" s="6" t="s">
        <v>38</v>
      </c>
      <c r="AA34" s="22"/>
      <c r="AB34" s="23"/>
      <c r="AC34" s="23"/>
      <c r="AD34" s="23"/>
      <c r="AE34" s="23"/>
      <c r="AF34" s="23"/>
      <c r="AG34" s="23"/>
      <c r="AH34" s="23"/>
      <c r="AI34" s="23"/>
      <c r="AJ34" s="24"/>
      <c r="AK34" s="3"/>
      <c r="AL34" s="16" t="s">
        <v>10</v>
      </c>
      <c r="AM34" s="17" t="s">
        <v>33</v>
      </c>
      <c r="AN34" s="17" t="s">
        <v>34</v>
      </c>
      <c r="AO34" s="17" t="s">
        <v>35</v>
      </c>
      <c r="AP34" s="17" t="s">
        <v>36</v>
      </c>
      <c r="AQ34" s="17" t="s">
        <v>37</v>
      </c>
      <c r="AR34" s="17" t="s">
        <v>38</v>
      </c>
      <c r="AS34" s="17" t="s">
        <v>39</v>
      </c>
      <c r="AT34" s="17" t="s">
        <v>40</v>
      </c>
      <c r="AU34" s="17" t="s">
        <v>41</v>
      </c>
      <c r="AV34" s="17" t="s">
        <v>42</v>
      </c>
      <c r="AW34" s="17" t="s">
        <v>10</v>
      </c>
      <c r="AX34" s="17" t="s">
        <v>19</v>
      </c>
      <c r="AY34" s="5"/>
    </row>
    <row r="35" spans="26:51" x14ac:dyDescent="0.2">
      <c r="Z35" s="6" t="s">
        <v>39</v>
      </c>
      <c r="AA35" s="22"/>
      <c r="AB35" s="23"/>
      <c r="AC35" s="23"/>
      <c r="AD35" s="23"/>
      <c r="AE35" s="23"/>
      <c r="AF35" s="23"/>
      <c r="AG35" s="23"/>
      <c r="AH35" s="23"/>
      <c r="AI35" s="23"/>
      <c r="AJ35" s="24"/>
      <c r="AK35" s="3"/>
      <c r="AL35" s="3">
        <v>1</v>
      </c>
      <c r="AW35" s="3"/>
      <c r="AX35" s="3"/>
      <c r="AY35" s="5"/>
    </row>
    <row r="36" spans="26:51" x14ac:dyDescent="0.2">
      <c r="Z36" s="6" t="s">
        <v>40</v>
      </c>
      <c r="AA36" s="22"/>
      <c r="AB36" s="23"/>
      <c r="AC36" s="23"/>
      <c r="AD36" s="23"/>
      <c r="AE36" s="23"/>
      <c r="AF36" s="23"/>
      <c r="AG36" s="23"/>
      <c r="AH36" s="23"/>
      <c r="AI36" s="23"/>
      <c r="AJ36" s="24"/>
      <c r="AK36" s="3"/>
      <c r="AL36" s="3">
        <v>2</v>
      </c>
      <c r="AW36" s="3"/>
      <c r="AX36" s="3"/>
      <c r="AY36" s="5"/>
    </row>
    <row r="37" spans="26:51" x14ac:dyDescent="0.2">
      <c r="Z37" s="6" t="s">
        <v>41</v>
      </c>
      <c r="AA37" s="22"/>
      <c r="AB37" s="23"/>
      <c r="AC37" s="23"/>
      <c r="AD37" s="23"/>
      <c r="AE37" s="23"/>
      <c r="AF37" s="23"/>
      <c r="AG37" s="23"/>
      <c r="AH37" s="23"/>
      <c r="AI37" s="23"/>
      <c r="AJ37" s="24"/>
      <c r="AK37" s="3"/>
      <c r="AL37" s="3">
        <v>3</v>
      </c>
      <c r="AW37" s="3"/>
      <c r="AX37" s="3"/>
      <c r="AY37" s="5"/>
    </row>
    <row r="38" spans="26:51" x14ac:dyDescent="0.2">
      <c r="Z38" s="6" t="s">
        <v>42</v>
      </c>
      <c r="AA38" s="25"/>
      <c r="AB38" s="26"/>
      <c r="AC38" s="26"/>
      <c r="AD38" s="26"/>
      <c r="AE38" s="26"/>
      <c r="AF38" s="26"/>
      <c r="AG38" s="26"/>
      <c r="AH38" s="26"/>
      <c r="AI38" s="26"/>
      <c r="AJ38" s="27"/>
      <c r="AK38" s="3"/>
      <c r="AL38" s="3">
        <v>4</v>
      </c>
      <c r="AW38" s="3"/>
      <c r="AX38" s="3"/>
      <c r="AY38" s="5"/>
    </row>
    <row r="39" spans="26:51" x14ac:dyDescent="0.2">
      <c r="AK39" s="3"/>
      <c r="AL39" s="8" t="s">
        <v>30</v>
      </c>
      <c r="AW39" s="7"/>
      <c r="AX39" s="17" t="s">
        <v>5</v>
      </c>
      <c r="AY39" s="5"/>
    </row>
    <row r="40" spans="26:51" x14ac:dyDescent="0.2">
      <c r="Z40" s="4" t="s">
        <v>27</v>
      </c>
      <c r="AK40" s="3"/>
      <c r="AL40" s="8" t="s">
        <v>7</v>
      </c>
      <c r="AW40" s="7"/>
      <c r="AY40" s="5"/>
    </row>
    <row r="41" spans="26:51" x14ac:dyDescent="0.2">
      <c r="Z41" s="6" t="s">
        <v>12</v>
      </c>
      <c r="AA41" s="6">
        <v>1</v>
      </c>
      <c r="AB41" s="6">
        <v>2</v>
      </c>
      <c r="AC41" s="6">
        <v>3</v>
      </c>
      <c r="AD41" s="6">
        <v>4</v>
      </c>
      <c r="AE41" s="6">
        <v>5</v>
      </c>
      <c r="AF41" s="6">
        <v>6</v>
      </c>
      <c r="AG41" s="6">
        <v>7</v>
      </c>
      <c r="AH41" s="6">
        <v>8</v>
      </c>
      <c r="AI41" s="6">
        <v>9</v>
      </c>
      <c r="AJ41" s="6">
        <v>10</v>
      </c>
      <c r="AK41" s="3"/>
      <c r="AL41" s="8" t="s">
        <v>16</v>
      </c>
      <c r="AW41" s="7"/>
      <c r="AX41" s="7"/>
      <c r="AY41" s="5"/>
    </row>
    <row r="42" spans="26:51" x14ac:dyDescent="0.2">
      <c r="Z42" s="6" t="s">
        <v>10</v>
      </c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3"/>
      <c r="AL42" s="8"/>
      <c r="AW42" s="3"/>
      <c r="AY42" s="5"/>
    </row>
    <row r="43" spans="26:51" x14ac:dyDescent="0.2">
      <c r="Z43" s="6" t="s">
        <v>33</v>
      </c>
      <c r="AK43" s="3"/>
      <c r="AL43" s="8"/>
      <c r="AW43" s="3"/>
      <c r="AY43" s="5"/>
    </row>
    <row r="44" spans="26:51" x14ac:dyDescent="0.2">
      <c r="Z44" s="6" t="s">
        <v>34</v>
      </c>
      <c r="AK44" s="3"/>
      <c r="AL44" s="8"/>
      <c r="AW44" s="3"/>
      <c r="AY44" s="5"/>
    </row>
    <row r="45" spans="26:51" x14ac:dyDescent="0.2">
      <c r="Z45" s="6" t="s">
        <v>35</v>
      </c>
      <c r="AK45" s="3"/>
      <c r="AL45" s="8"/>
      <c r="AW45" s="3"/>
      <c r="AY45" s="5"/>
    </row>
    <row r="46" spans="26:51" x14ac:dyDescent="0.2">
      <c r="Z46" s="6" t="s">
        <v>36</v>
      </c>
      <c r="AK46" s="3"/>
      <c r="AL46" s="8"/>
      <c r="AW46" s="3"/>
      <c r="AY46" s="5"/>
    </row>
    <row r="47" spans="26:51" x14ac:dyDescent="0.2">
      <c r="Z47" s="6" t="s">
        <v>37</v>
      </c>
      <c r="AK47" s="3"/>
      <c r="AL47" s="8"/>
      <c r="AW47" s="3"/>
      <c r="AY47" s="5"/>
    </row>
    <row r="48" spans="26:51" x14ac:dyDescent="0.2">
      <c r="Z48" s="6" t="s">
        <v>38</v>
      </c>
      <c r="AK48" s="3"/>
      <c r="AL48" s="8"/>
      <c r="AW48" s="3"/>
      <c r="AY48" s="5"/>
    </row>
    <row r="49" spans="26:51" x14ac:dyDescent="0.2">
      <c r="Z49" s="6" t="s">
        <v>39</v>
      </c>
      <c r="AK49" s="3"/>
      <c r="AL49" s="8"/>
      <c r="AW49" s="3"/>
      <c r="AY49" s="5"/>
    </row>
    <row r="50" spans="26:51" x14ac:dyDescent="0.2">
      <c r="Z50" s="6" t="s">
        <v>40</v>
      </c>
      <c r="AK50" s="3"/>
      <c r="AL50" s="8"/>
      <c r="AW50" s="3"/>
      <c r="AY50" s="5"/>
    </row>
    <row r="51" spans="26:51" x14ac:dyDescent="0.2">
      <c r="Z51" s="6" t="s">
        <v>41</v>
      </c>
      <c r="AK51" s="3"/>
      <c r="AL51" s="8"/>
      <c r="AW51" s="3"/>
      <c r="AY51" s="5"/>
    </row>
    <row r="52" spans="26:51" x14ac:dyDescent="0.2">
      <c r="Z52" s="6" t="s">
        <v>42</v>
      </c>
      <c r="AK52" s="3"/>
      <c r="AL52" s="8"/>
      <c r="AW52" s="3"/>
      <c r="AY52" s="5"/>
    </row>
    <row r="53" spans="26:51" x14ac:dyDescent="0.2">
      <c r="AK53" s="3"/>
      <c r="AL53" s="8"/>
      <c r="AW53" s="3"/>
      <c r="AY53" s="5"/>
    </row>
    <row r="54" spans="26:51" x14ac:dyDescent="0.2">
      <c r="Z54" s="4" t="s">
        <v>20</v>
      </c>
      <c r="AK54" s="3"/>
      <c r="AL54" s="8"/>
      <c r="AW54" s="3"/>
      <c r="AY54" s="5"/>
    </row>
    <row r="55" spans="26:51" x14ac:dyDescent="0.2">
      <c r="Z55" s="6" t="s">
        <v>12</v>
      </c>
      <c r="AA55" s="6">
        <v>1</v>
      </c>
      <c r="AB55" s="6">
        <v>2</v>
      </c>
      <c r="AC55" s="6">
        <v>3</v>
      </c>
      <c r="AD55" s="6">
        <v>4</v>
      </c>
      <c r="AE55" s="6">
        <v>5</v>
      </c>
      <c r="AF55" s="6">
        <v>6</v>
      </c>
      <c r="AG55" s="6">
        <v>7</v>
      </c>
      <c r="AH55" s="6">
        <v>8</v>
      </c>
      <c r="AI55" s="6">
        <v>9</v>
      </c>
      <c r="AJ55" s="6">
        <v>10</v>
      </c>
      <c r="AK55" s="3"/>
      <c r="AL55" s="8"/>
      <c r="AW55" s="3"/>
      <c r="AY55" s="5"/>
    </row>
    <row r="56" spans="26:51" x14ac:dyDescent="0.2">
      <c r="Z56" s="6" t="s">
        <v>10</v>
      </c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3"/>
      <c r="AL56" s="8"/>
      <c r="AW56" s="3"/>
      <c r="AY56" s="5"/>
    </row>
    <row r="57" spans="26:51" x14ac:dyDescent="0.2">
      <c r="Z57" s="6" t="s">
        <v>33</v>
      </c>
      <c r="AL57" s="8"/>
      <c r="AW57" s="3"/>
      <c r="AY57" s="5"/>
    </row>
    <row r="58" spans="26:51" x14ac:dyDescent="0.2">
      <c r="Z58" s="6" t="s">
        <v>34</v>
      </c>
      <c r="AL58" s="8"/>
      <c r="AW58" s="3"/>
      <c r="AY58" s="5"/>
    </row>
    <row r="59" spans="26:51" x14ac:dyDescent="0.2">
      <c r="Z59" s="6" t="s">
        <v>35</v>
      </c>
      <c r="AL59" s="8"/>
      <c r="AW59" s="3"/>
      <c r="AY59" s="5"/>
    </row>
    <row r="60" spans="26:51" x14ac:dyDescent="0.2">
      <c r="Z60" s="6" t="s">
        <v>36</v>
      </c>
      <c r="AL60" s="8"/>
      <c r="AW60" s="3"/>
      <c r="AY60" s="5"/>
    </row>
    <row r="61" spans="26:51" x14ac:dyDescent="0.2">
      <c r="Z61" s="6" t="s">
        <v>37</v>
      </c>
      <c r="AL61" s="8"/>
      <c r="AW61" s="3"/>
      <c r="AY61" s="5"/>
    </row>
    <row r="62" spans="26:51" x14ac:dyDescent="0.2">
      <c r="Z62" s="6" t="s">
        <v>38</v>
      </c>
      <c r="AL62" s="8"/>
      <c r="AW62" s="3"/>
      <c r="AY62" s="5"/>
    </row>
    <row r="63" spans="26:51" x14ac:dyDescent="0.2">
      <c r="Z63" s="6" t="s">
        <v>39</v>
      </c>
      <c r="AL63" s="8"/>
      <c r="AW63" s="3"/>
      <c r="AY63" s="5"/>
    </row>
    <row r="64" spans="26:51" x14ac:dyDescent="0.2">
      <c r="Z64" s="6" t="s">
        <v>40</v>
      </c>
      <c r="AL64" s="8"/>
      <c r="AW64" s="3"/>
      <c r="AY64" s="5"/>
    </row>
    <row r="65" spans="26:51" x14ac:dyDescent="0.2">
      <c r="Z65" s="6" t="s">
        <v>41</v>
      </c>
      <c r="AL65" s="8"/>
      <c r="AW65" s="3"/>
      <c r="AY65" s="5"/>
    </row>
    <row r="66" spans="26:51" x14ac:dyDescent="0.2">
      <c r="Z66" s="6" t="s">
        <v>42</v>
      </c>
      <c r="AL66" s="8"/>
      <c r="AW66" s="3"/>
      <c r="AY66" s="5"/>
    </row>
    <row r="67" spans="26:51" x14ac:dyDescent="0.2">
      <c r="AK67" s="3"/>
      <c r="AL67" s="8"/>
      <c r="AW67" s="3"/>
      <c r="AY67" s="5"/>
    </row>
    <row r="68" spans="26:51" x14ac:dyDescent="0.2">
      <c r="Z68" s="4" t="s">
        <v>21</v>
      </c>
      <c r="AK68" s="3"/>
      <c r="AL68" s="8"/>
      <c r="AW68" s="3"/>
      <c r="AY68" s="5"/>
    </row>
    <row r="69" spans="26:51" x14ac:dyDescent="0.2">
      <c r="AA69" s="6"/>
      <c r="AB69" s="6"/>
      <c r="AC69" s="6"/>
      <c r="AD69" s="6"/>
      <c r="AK69" s="3"/>
      <c r="AL69" s="8"/>
      <c r="AW69" s="3"/>
      <c r="AY69" s="5"/>
    </row>
    <row r="70" spans="26:51" x14ac:dyDescent="0.2">
      <c r="AA70" s="4" t="s">
        <v>22</v>
      </c>
      <c r="AK70" s="3"/>
      <c r="AL70" s="8"/>
      <c r="AW70" s="3"/>
      <c r="AY70" s="5"/>
    </row>
    <row r="71" spans="26:51" x14ac:dyDescent="0.2">
      <c r="AK71" s="3"/>
      <c r="AL71" s="8"/>
      <c r="AW71" s="3"/>
      <c r="AY71" s="5"/>
    </row>
    <row r="72" spans="26:51" x14ac:dyDescent="0.2">
      <c r="AK72" s="3"/>
      <c r="AL72" s="8"/>
      <c r="AW72" s="3"/>
      <c r="AY72" s="5"/>
    </row>
    <row r="73" spans="26:51" x14ac:dyDescent="0.2">
      <c r="AK73" s="3"/>
      <c r="AL73" s="8"/>
      <c r="AW73" s="3"/>
      <c r="AY73" s="5"/>
    </row>
    <row r="74" spans="26:51" x14ac:dyDescent="0.2">
      <c r="AK74" s="3"/>
      <c r="AL74" s="8"/>
      <c r="AW74" s="3"/>
      <c r="AY74" s="5"/>
    </row>
    <row r="75" spans="26:51" x14ac:dyDescent="0.2">
      <c r="AK75" s="3"/>
      <c r="AL75" s="8"/>
      <c r="AW75" s="3"/>
      <c r="AY75" s="5"/>
    </row>
    <row r="76" spans="26:51" x14ac:dyDescent="0.2">
      <c r="AK76" s="3"/>
      <c r="AL76" s="8"/>
      <c r="AW76" s="3"/>
      <c r="AY76" s="5"/>
    </row>
    <row r="77" spans="26:51" x14ac:dyDescent="0.2">
      <c r="AK77" s="3"/>
      <c r="AL77" s="8"/>
      <c r="AW77" s="3"/>
      <c r="AY77" s="5"/>
    </row>
    <row r="78" spans="26:51" x14ac:dyDescent="0.2">
      <c r="AK78" s="3"/>
      <c r="AL78" s="8"/>
      <c r="AW78" s="3"/>
      <c r="AY78" s="5"/>
    </row>
    <row r="79" spans="26:51" x14ac:dyDescent="0.2">
      <c r="AK79" s="3"/>
      <c r="AL79" s="8"/>
      <c r="AW79" s="3"/>
      <c r="AY79" s="5"/>
    </row>
    <row r="80" spans="26:51" x14ac:dyDescent="0.2">
      <c r="AK80" s="3"/>
      <c r="AL80" s="8"/>
      <c r="AW80" s="3"/>
      <c r="AY80" s="5"/>
    </row>
    <row r="81" spans="37:51" x14ac:dyDescent="0.2">
      <c r="AK81" s="3"/>
      <c r="AL81" s="8"/>
      <c r="AW81" s="3"/>
      <c r="AY81" s="5"/>
    </row>
    <row r="82" spans="37:51" x14ac:dyDescent="0.2">
      <c r="AK82" s="3"/>
      <c r="AL82" s="8"/>
      <c r="AW82" s="3"/>
      <c r="AY82" s="5"/>
    </row>
    <row r="83" spans="37:51" x14ac:dyDescent="0.2">
      <c r="AK83" s="3"/>
      <c r="AL83" s="8"/>
      <c r="AW83" s="3"/>
      <c r="AY83" s="5"/>
    </row>
    <row r="84" spans="37:51" x14ac:dyDescent="0.2">
      <c r="AK84" s="3"/>
      <c r="AL84" s="8"/>
      <c r="AW84" s="3"/>
      <c r="AY84" s="5"/>
    </row>
    <row r="85" spans="37:51" x14ac:dyDescent="0.2">
      <c r="AK85" s="3"/>
      <c r="AL85" s="8"/>
      <c r="AW85" s="3"/>
      <c r="AY85" s="5"/>
    </row>
    <row r="86" spans="37:51" x14ac:dyDescent="0.2">
      <c r="AK86" s="3"/>
      <c r="AL86" s="8"/>
      <c r="AW86" s="3"/>
      <c r="AY86" s="5"/>
    </row>
    <row r="87" spans="37:51" x14ac:dyDescent="0.2">
      <c r="AK87" s="3"/>
      <c r="AL87" s="8"/>
      <c r="AW87" s="3"/>
      <c r="AY87" s="5"/>
    </row>
    <row r="88" spans="37:51" x14ac:dyDescent="0.2">
      <c r="AK88" s="3"/>
      <c r="AL88" s="8"/>
      <c r="AW88" s="3"/>
      <c r="AY88" s="5"/>
    </row>
    <row r="89" spans="37:51" x14ac:dyDescent="0.2">
      <c r="AK89" s="3"/>
      <c r="AL89" s="8"/>
      <c r="AW89" s="3"/>
      <c r="AY89" s="5"/>
    </row>
    <row r="90" spans="37:51" x14ac:dyDescent="0.2">
      <c r="AK90" s="3"/>
      <c r="AL90" s="8"/>
      <c r="AW90" s="3"/>
      <c r="AY90" s="5"/>
    </row>
    <row r="91" spans="37:51" x14ac:dyDescent="0.2">
      <c r="AK91" s="3"/>
      <c r="AL91" s="8"/>
      <c r="AW91" s="3"/>
      <c r="AY91" s="5"/>
    </row>
    <row r="92" spans="37:51" x14ac:dyDescent="0.2">
      <c r="AK92" s="3"/>
      <c r="AL92" s="8"/>
      <c r="AW92" s="3"/>
      <c r="AY92" s="5"/>
    </row>
    <row r="93" spans="37:51" x14ac:dyDescent="0.2">
      <c r="AK93" s="3"/>
      <c r="AL93" s="8"/>
      <c r="AW93" s="3"/>
      <c r="AY93" s="5"/>
    </row>
    <row r="94" spans="37:51" x14ac:dyDescent="0.2">
      <c r="AK94" s="3"/>
      <c r="AL94" s="8"/>
      <c r="AW94" s="3"/>
      <c r="AY94" s="5"/>
    </row>
    <row r="95" spans="37:51" x14ac:dyDescent="0.2">
      <c r="AK95" s="3"/>
      <c r="AL95" s="8"/>
      <c r="AW95" s="3"/>
      <c r="AY95" s="5"/>
    </row>
    <row r="96" spans="37:51" x14ac:dyDescent="0.2">
      <c r="AK96" s="3"/>
      <c r="AL96" s="8"/>
      <c r="AW96" s="3"/>
      <c r="AY96" s="5"/>
    </row>
    <row r="97" spans="37:51" x14ac:dyDescent="0.2">
      <c r="AK97" s="3"/>
      <c r="AL97" s="8"/>
      <c r="AW97" s="3"/>
      <c r="AY97" s="5"/>
    </row>
    <row r="98" spans="37:51" x14ac:dyDescent="0.2">
      <c r="AK98" s="3"/>
      <c r="AL98" s="8"/>
      <c r="AW98" s="3"/>
      <c r="AY98" s="5"/>
    </row>
    <row r="99" spans="37:51" x14ac:dyDescent="0.2">
      <c r="AK99" s="3"/>
      <c r="AL99" s="8"/>
      <c r="AW99" s="3"/>
      <c r="AY99" s="5"/>
    </row>
    <row r="100" spans="37:51" x14ac:dyDescent="0.2">
      <c r="AK100" s="3"/>
      <c r="AL100" s="8"/>
      <c r="AW100" s="3"/>
      <c r="AY100" s="5"/>
    </row>
    <row r="101" spans="37:51" x14ac:dyDescent="0.2">
      <c r="AK101" s="3"/>
      <c r="AL101" s="8"/>
      <c r="AW101" s="3"/>
      <c r="AY101" s="5"/>
    </row>
    <row r="102" spans="37:51" x14ac:dyDescent="0.2">
      <c r="AK102" s="3"/>
      <c r="AL102" s="8"/>
      <c r="AW102" s="3"/>
      <c r="AY102" s="5"/>
    </row>
    <row r="103" spans="37:51" x14ac:dyDescent="0.2">
      <c r="AK103" s="3"/>
      <c r="AL103" s="8"/>
      <c r="AW103" s="3"/>
      <c r="AY103" s="5"/>
    </row>
    <row r="104" spans="37:51" x14ac:dyDescent="0.2">
      <c r="AK104" s="3"/>
      <c r="AL104" s="8"/>
      <c r="AW104" s="3"/>
      <c r="AY104" s="5"/>
    </row>
    <row r="105" spans="37:51" x14ac:dyDescent="0.2">
      <c r="AK105" s="3"/>
      <c r="AL105" s="8"/>
      <c r="AW105" s="3"/>
      <c r="AY105" s="5"/>
    </row>
    <row r="106" spans="37:51" x14ac:dyDescent="0.2">
      <c r="AK106" s="3"/>
      <c r="AL106" s="8"/>
      <c r="AW106" s="3"/>
      <c r="AY106" s="5"/>
    </row>
    <row r="107" spans="37:51" x14ac:dyDescent="0.2">
      <c r="AK107" s="3"/>
      <c r="AL107" s="8"/>
      <c r="AW107" s="3"/>
      <c r="AY107" s="5"/>
    </row>
    <row r="108" spans="37:51" x14ac:dyDescent="0.2">
      <c r="AK108" s="3"/>
      <c r="AL108" s="8"/>
      <c r="AW108" s="3"/>
      <c r="AY108" s="5"/>
    </row>
    <row r="109" spans="37:51" x14ac:dyDescent="0.2">
      <c r="AK109" s="3"/>
      <c r="AL109" s="8"/>
      <c r="AW109" s="3"/>
      <c r="AY109" s="5"/>
    </row>
    <row r="110" spans="37:51" x14ac:dyDescent="0.2">
      <c r="AK110" s="3"/>
      <c r="AL110" s="8"/>
      <c r="AW110" s="3"/>
      <c r="AY110" s="5"/>
    </row>
    <row r="111" spans="37:51" x14ac:dyDescent="0.2">
      <c r="AK111" s="3"/>
      <c r="AL111" s="8"/>
      <c r="AW111" s="3"/>
      <c r="AY111" s="5"/>
    </row>
    <row r="112" spans="37:51" x14ac:dyDescent="0.2">
      <c r="AK112" s="3"/>
      <c r="AL112" s="8"/>
      <c r="AW112" s="3"/>
      <c r="AY112" s="5"/>
    </row>
    <row r="113" spans="37:51" x14ac:dyDescent="0.2">
      <c r="AK113" s="3"/>
      <c r="AL113" s="8"/>
      <c r="AW113" s="3"/>
      <c r="AY113" s="5"/>
    </row>
    <row r="114" spans="37:51" x14ac:dyDescent="0.2">
      <c r="AK114" s="3"/>
      <c r="AL114" s="8"/>
      <c r="AW114" s="3"/>
      <c r="AY114" s="5"/>
    </row>
    <row r="115" spans="37:51" x14ac:dyDescent="0.2">
      <c r="AK115" s="3"/>
      <c r="AL115" s="8"/>
      <c r="AW115" s="3"/>
      <c r="AY115" s="5"/>
    </row>
    <row r="116" spans="37:51" x14ac:dyDescent="0.2">
      <c r="AK116" s="3"/>
      <c r="AL116" s="8"/>
      <c r="AW116" s="3"/>
      <c r="AY116" s="5"/>
    </row>
    <row r="117" spans="37:51" x14ac:dyDescent="0.2">
      <c r="AK117" s="3"/>
      <c r="AL117" s="8"/>
      <c r="AW117" s="3"/>
      <c r="AY117" s="5"/>
    </row>
    <row r="118" spans="37:51" x14ac:dyDescent="0.2">
      <c r="AK118" s="3"/>
      <c r="AL118" s="8"/>
      <c r="AW118" s="3"/>
      <c r="AY118" s="5"/>
    </row>
    <row r="119" spans="37:51" x14ac:dyDescent="0.2">
      <c r="AK119" s="3"/>
      <c r="AL119" s="8"/>
      <c r="AW119" s="3"/>
      <c r="AY119" s="5"/>
    </row>
    <row r="120" spans="37:51" x14ac:dyDescent="0.2">
      <c r="AK120" s="3"/>
      <c r="AL120" s="8"/>
      <c r="AW120" s="3"/>
      <c r="AY120" s="5"/>
    </row>
    <row r="121" spans="37:51" x14ac:dyDescent="0.2">
      <c r="AK121" s="3"/>
      <c r="AL121" s="8"/>
      <c r="AW121" s="3"/>
      <c r="AY121" s="5"/>
    </row>
    <row r="122" spans="37:51" x14ac:dyDescent="0.2">
      <c r="AK122" s="3"/>
      <c r="AL122" s="8"/>
      <c r="AW122" s="3"/>
      <c r="AY122" s="5"/>
    </row>
    <row r="123" spans="37:51" x14ac:dyDescent="0.2">
      <c r="AK123" s="3"/>
      <c r="AL123" s="8"/>
      <c r="AW123" s="3"/>
      <c r="AY123" s="5"/>
    </row>
    <row r="124" spans="37:51" x14ac:dyDescent="0.2">
      <c r="AK124" s="3"/>
      <c r="AL124" s="8"/>
      <c r="AW124" s="3"/>
      <c r="AY124" s="5"/>
    </row>
    <row r="125" spans="37:51" x14ac:dyDescent="0.2">
      <c r="AK125" s="3"/>
      <c r="AL125" s="8"/>
      <c r="AW125" s="3"/>
      <c r="AY125" s="5"/>
    </row>
    <row r="126" spans="37:51" x14ac:dyDescent="0.2">
      <c r="AK126" s="3"/>
      <c r="AL126" s="8"/>
      <c r="AW126" s="3"/>
      <c r="AY126" s="5"/>
    </row>
    <row r="127" spans="37:51" x14ac:dyDescent="0.2">
      <c r="AK127" s="3"/>
      <c r="AL127" s="8"/>
      <c r="AW127" s="3"/>
      <c r="AY127" s="5"/>
    </row>
    <row r="128" spans="37:51" x14ac:dyDescent="0.2">
      <c r="AK128" s="3"/>
      <c r="AL128" s="8"/>
      <c r="AW128" s="3"/>
      <c r="AY128" s="5"/>
    </row>
    <row r="129" spans="37:51" x14ac:dyDescent="0.2">
      <c r="AK129" s="3"/>
      <c r="AL129" s="8"/>
      <c r="AW129" s="3"/>
      <c r="AY129" s="5"/>
    </row>
    <row r="130" spans="37:51" x14ac:dyDescent="0.2">
      <c r="AK130" s="3"/>
      <c r="AL130" s="8"/>
      <c r="AW130" s="3"/>
      <c r="AY130" s="5"/>
    </row>
    <row r="131" spans="37:51" x14ac:dyDescent="0.2">
      <c r="AK131" s="3"/>
      <c r="AL131" s="8"/>
      <c r="AW131" s="3"/>
      <c r="AY131" s="5"/>
    </row>
    <row r="132" spans="37:51" x14ac:dyDescent="0.2">
      <c r="AK132" s="3"/>
      <c r="AL132" s="8"/>
      <c r="AW132" s="3"/>
      <c r="AY132" s="5"/>
    </row>
    <row r="133" spans="37:51" x14ac:dyDescent="0.2">
      <c r="AK133" s="3"/>
      <c r="AL133" s="8"/>
      <c r="AW133" s="3"/>
      <c r="AY133" s="5"/>
    </row>
    <row r="134" spans="37:51" x14ac:dyDescent="0.2">
      <c r="AK134" s="3"/>
      <c r="AL134" s="8"/>
      <c r="AW134" s="3"/>
      <c r="AY134" s="5"/>
    </row>
    <row r="135" spans="37:51" x14ac:dyDescent="0.2">
      <c r="AK135" s="3"/>
      <c r="AL135" s="8"/>
      <c r="AW135" s="3"/>
      <c r="AY135" s="5"/>
    </row>
    <row r="136" spans="37:51" x14ac:dyDescent="0.2">
      <c r="AK136" s="3"/>
      <c r="AL136" s="8"/>
      <c r="AW136" s="3"/>
      <c r="AY136" s="5"/>
    </row>
    <row r="137" spans="37:51" x14ac:dyDescent="0.2">
      <c r="AK137" s="3"/>
      <c r="AL137" s="8"/>
      <c r="AW137" s="3"/>
      <c r="AY137" s="5"/>
    </row>
    <row r="138" spans="37:51" x14ac:dyDescent="0.2">
      <c r="AK138" s="3"/>
      <c r="AL138" s="8"/>
      <c r="AW138" s="3"/>
      <c r="AY138" s="5"/>
    </row>
    <row r="139" spans="37:51" x14ac:dyDescent="0.2">
      <c r="AK139" s="3"/>
      <c r="AL139" s="8"/>
      <c r="AW139" s="3"/>
      <c r="AY139" s="5"/>
    </row>
    <row r="140" spans="37:51" x14ac:dyDescent="0.2">
      <c r="AK140" s="3"/>
      <c r="AL140" s="8"/>
      <c r="AW140" s="3"/>
      <c r="AY140" s="5"/>
    </row>
    <row r="141" spans="37:51" x14ac:dyDescent="0.2">
      <c r="AK141" s="3"/>
      <c r="AL141" s="8"/>
      <c r="AW141" s="3"/>
      <c r="AY141" s="5"/>
    </row>
    <row r="142" spans="37:51" x14ac:dyDescent="0.2">
      <c r="AK142" s="3"/>
      <c r="AL142" s="8"/>
      <c r="AW142" s="3"/>
      <c r="AY142" s="5"/>
    </row>
    <row r="143" spans="37:51" x14ac:dyDescent="0.2">
      <c r="AK143" s="3"/>
      <c r="AL143" s="8"/>
      <c r="AW143" s="3"/>
      <c r="AY143" s="5"/>
    </row>
    <row r="144" spans="37:51" x14ac:dyDescent="0.2">
      <c r="AK144" s="3"/>
      <c r="AL144" s="8"/>
      <c r="AW144" s="3"/>
      <c r="AY144" s="5"/>
    </row>
    <row r="145" spans="37:51" x14ac:dyDescent="0.2">
      <c r="AK145" s="3"/>
      <c r="AL145" s="8"/>
      <c r="AW145" s="3"/>
      <c r="AY145" s="5"/>
    </row>
    <row r="146" spans="37:51" x14ac:dyDescent="0.2">
      <c r="AK146" s="3"/>
      <c r="AL146" s="8"/>
      <c r="AW146" s="3"/>
      <c r="AY146" s="5"/>
    </row>
    <row r="147" spans="37:51" x14ac:dyDescent="0.2">
      <c r="AK147" s="3"/>
      <c r="AL147" s="8"/>
      <c r="AW147" s="3"/>
      <c r="AY147" s="5"/>
    </row>
    <row r="148" spans="37:51" x14ac:dyDescent="0.2">
      <c r="AK148" s="3"/>
      <c r="AL148" s="8"/>
      <c r="AW148" s="3"/>
      <c r="AY148" s="5"/>
    </row>
    <row r="149" spans="37:51" x14ac:dyDescent="0.2">
      <c r="AK149" s="3"/>
      <c r="AL149" s="8"/>
      <c r="AW149" s="3"/>
      <c r="AY149" s="5"/>
    </row>
    <row r="150" spans="37:51" x14ac:dyDescent="0.2">
      <c r="AK150" s="3"/>
      <c r="AL150" s="8"/>
      <c r="AW150" s="3"/>
      <c r="AY150" s="5"/>
    </row>
    <row r="151" spans="37:51" x14ac:dyDescent="0.2">
      <c r="AK151" s="3"/>
      <c r="AL151" s="8"/>
      <c r="AW151" s="3"/>
      <c r="AY151" s="5"/>
    </row>
    <row r="152" spans="37:51" x14ac:dyDescent="0.2">
      <c r="AK152" s="3"/>
      <c r="AL152" s="8"/>
      <c r="AW152" s="3"/>
      <c r="AY152" s="5"/>
    </row>
    <row r="153" spans="37:51" x14ac:dyDescent="0.2">
      <c r="AK153" s="3"/>
      <c r="AL153" s="8"/>
      <c r="AW153" s="3"/>
      <c r="AY153" s="5"/>
    </row>
    <row r="154" spans="37:51" x14ac:dyDescent="0.2">
      <c r="AK154" s="3"/>
      <c r="AL154" s="8"/>
      <c r="AW154" s="3"/>
      <c r="AY154" s="5"/>
    </row>
    <row r="155" spans="37:51" x14ac:dyDescent="0.2">
      <c r="AK155" s="3"/>
      <c r="AL155" s="8"/>
      <c r="AW155" s="3"/>
      <c r="AY155" s="5"/>
    </row>
    <row r="156" spans="37:51" x14ac:dyDescent="0.2">
      <c r="AK156" s="3"/>
      <c r="AL156" s="8"/>
      <c r="AW156" s="3"/>
      <c r="AY156" s="5"/>
    </row>
    <row r="157" spans="37:51" x14ac:dyDescent="0.2">
      <c r="AK157" s="3"/>
      <c r="AL157" s="8"/>
      <c r="AW157" s="3"/>
      <c r="AY157" s="5"/>
    </row>
    <row r="158" spans="37:51" x14ac:dyDescent="0.2">
      <c r="AK158" s="3"/>
      <c r="AL158" s="8"/>
      <c r="AW158" s="3"/>
      <c r="AY158" s="5"/>
    </row>
    <row r="159" spans="37:51" x14ac:dyDescent="0.2">
      <c r="AK159" s="3"/>
      <c r="AL159" s="8"/>
      <c r="AW159" s="3"/>
      <c r="AY159" s="5"/>
    </row>
    <row r="160" spans="37:51" x14ac:dyDescent="0.2">
      <c r="AK160" s="3"/>
      <c r="AL160" s="8"/>
      <c r="AW160" s="3"/>
      <c r="AY160" s="5"/>
    </row>
    <row r="161" spans="37:51" x14ac:dyDescent="0.2">
      <c r="AK161" s="3"/>
      <c r="AL161" s="8"/>
      <c r="AW161" s="3"/>
      <c r="AY161" s="5"/>
    </row>
    <row r="162" spans="37:51" x14ac:dyDescent="0.2">
      <c r="AK162" s="3"/>
      <c r="AL162" s="8"/>
      <c r="AW162" s="3"/>
      <c r="AY162" s="5"/>
    </row>
    <row r="163" spans="37:51" x14ac:dyDescent="0.2">
      <c r="AK163" s="3"/>
      <c r="AL163" s="8"/>
      <c r="AW163" s="3"/>
      <c r="AY163" s="5"/>
    </row>
    <row r="164" spans="37:51" x14ac:dyDescent="0.2">
      <c r="AK164" s="3"/>
      <c r="AL164" s="8"/>
      <c r="AW164" s="3"/>
      <c r="AY164" s="5"/>
    </row>
    <row r="165" spans="37:51" x14ac:dyDescent="0.2">
      <c r="AK165" s="3"/>
      <c r="AL165" s="8"/>
      <c r="AW165" s="3"/>
      <c r="AY165" s="5"/>
    </row>
    <row r="166" spans="37:51" x14ac:dyDescent="0.2">
      <c r="AK166" s="3"/>
      <c r="AL166" s="8"/>
      <c r="AW166" s="3"/>
      <c r="AY166" s="5"/>
    </row>
    <row r="167" spans="37:51" x14ac:dyDescent="0.2">
      <c r="AK167" s="3"/>
      <c r="AL167" s="8"/>
      <c r="AW167" s="3"/>
      <c r="AY167" s="5"/>
    </row>
    <row r="168" spans="37:51" x14ac:dyDescent="0.2">
      <c r="AK168" s="3"/>
      <c r="AL168" s="8"/>
      <c r="AW168" s="3"/>
      <c r="AY168" s="5"/>
    </row>
    <row r="169" spans="37:51" x14ac:dyDescent="0.2">
      <c r="AK169" s="3"/>
      <c r="AL169" s="8"/>
      <c r="AW169" s="3"/>
      <c r="AY169" s="5"/>
    </row>
    <row r="170" spans="37:51" x14ac:dyDescent="0.2">
      <c r="AK170" s="3"/>
      <c r="AL170" s="8"/>
      <c r="AW170" s="3"/>
      <c r="AY170" s="5"/>
    </row>
    <row r="171" spans="37:51" x14ac:dyDescent="0.2">
      <c r="AK171" s="3"/>
      <c r="AL171" s="8"/>
      <c r="AW171" s="3"/>
      <c r="AY171" s="5"/>
    </row>
    <row r="172" spans="37:51" x14ac:dyDescent="0.2">
      <c r="AK172" s="3"/>
      <c r="AL172" s="8"/>
      <c r="AW172" s="3"/>
      <c r="AY172" s="5"/>
    </row>
    <row r="173" spans="37:51" x14ac:dyDescent="0.2">
      <c r="AK173" s="3"/>
      <c r="AL173" s="8"/>
      <c r="AW173" s="3"/>
      <c r="AY173" s="5"/>
    </row>
    <row r="174" spans="37:51" x14ac:dyDescent="0.2">
      <c r="AK174" s="3"/>
      <c r="AL174" s="8"/>
      <c r="AW174" s="3"/>
      <c r="AY174" s="5"/>
    </row>
    <row r="175" spans="37:51" x14ac:dyDescent="0.2">
      <c r="AK175" s="3"/>
      <c r="AL175" s="8"/>
      <c r="AW175" s="3"/>
      <c r="AY175" s="5"/>
    </row>
    <row r="176" spans="37:51" x14ac:dyDescent="0.2">
      <c r="AK176" s="3"/>
      <c r="AL176" s="8"/>
      <c r="AW176" s="3"/>
      <c r="AY176" s="5"/>
    </row>
    <row r="177" spans="37:51" x14ac:dyDescent="0.2">
      <c r="AK177" s="3"/>
      <c r="AL177" s="8"/>
      <c r="AW177" s="3"/>
      <c r="AY177" s="5"/>
    </row>
    <row r="178" spans="37:51" x14ac:dyDescent="0.2">
      <c r="AK178" s="3"/>
      <c r="AL178" s="8"/>
      <c r="AW178" s="3"/>
      <c r="AY178" s="5"/>
    </row>
    <row r="179" spans="37:51" x14ac:dyDescent="0.2">
      <c r="AK179" s="3"/>
      <c r="AL179" s="8"/>
      <c r="AW179" s="3"/>
      <c r="AY179" s="5"/>
    </row>
    <row r="180" spans="37:51" x14ac:dyDescent="0.2">
      <c r="AK180" s="3"/>
      <c r="AL180" s="8"/>
      <c r="AW180" s="3"/>
      <c r="AY180" s="5"/>
    </row>
    <row r="181" spans="37:51" x14ac:dyDescent="0.2">
      <c r="AK181" s="3"/>
      <c r="AL181" s="8"/>
      <c r="AW181" s="3"/>
      <c r="AY181" s="5"/>
    </row>
    <row r="182" spans="37:51" x14ac:dyDescent="0.2">
      <c r="AK182" s="3"/>
      <c r="AL182" s="8"/>
      <c r="AW182" s="3"/>
      <c r="AY182" s="5"/>
    </row>
    <row r="183" spans="37:51" x14ac:dyDescent="0.2">
      <c r="AK183" s="3"/>
      <c r="AL183" s="8"/>
      <c r="AW183" s="3"/>
      <c r="AY183" s="5"/>
    </row>
    <row r="184" spans="37:51" x14ac:dyDescent="0.2">
      <c r="AK184" s="3"/>
      <c r="AL184" s="8"/>
      <c r="AW184" s="3"/>
      <c r="AY184" s="5"/>
    </row>
    <row r="185" spans="37:51" x14ac:dyDescent="0.2">
      <c r="AK185" s="3"/>
      <c r="AL185" s="8"/>
      <c r="AW185" s="3"/>
      <c r="AY185" s="5"/>
    </row>
    <row r="186" spans="37:51" x14ac:dyDescent="0.2">
      <c r="AK186" s="3"/>
      <c r="AL186" s="8"/>
      <c r="AW186" s="3"/>
      <c r="AY186" s="5"/>
    </row>
    <row r="187" spans="37:51" x14ac:dyDescent="0.2">
      <c r="AK187" s="3"/>
      <c r="AL187" s="8"/>
      <c r="AW187" s="3"/>
      <c r="AY187" s="5"/>
    </row>
    <row r="188" spans="37:51" x14ac:dyDescent="0.2">
      <c r="AK188" s="3"/>
      <c r="AL188" s="8"/>
      <c r="AW188" s="3"/>
      <c r="AY188" s="5"/>
    </row>
    <row r="189" spans="37:51" x14ac:dyDescent="0.2">
      <c r="AK189" s="3"/>
      <c r="AL189" s="8"/>
      <c r="AW189" s="3"/>
      <c r="AY189" s="5"/>
    </row>
    <row r="190" spans="37:51" x14ac:dyDescent="0.2">
      <c r="AK190" s="3"/>
      <c r="AL190" s="8"/>
      <c r="AW190" s="3"/>
      <c r="AY190" s="5"/>
    </row>
    <row r="191" spans="37:51" x14ac:dyDescent="0.2">
      <c r="AK191" s="3"/>
      <c r="AL191" s="8"/>
      <c r="AW191" s="3"/>
      <c r="AY191" s="5"/>
    </row>
    <row r="192" spans="37:51" x14ac:dyDescent="0.2">
      <c r="AK192" s="3"/>
      <c r="AL192" s="8"/>
      <c r="AW192" s="3"/>
      <c r="AY192" s="5"/>
    </row>
    <row r="193" spans="37:51" x14ac:dyDescent="0.2">
      <c r="AK193" s="3"/>
      <c r="AL193" s="8"/>
      <c r="AW193" s="3"/>
      <c r="AY193" s="5"/>
    </row>
    <row r="194" spans="37:51" x14ac:dyDescent="0.2">
      <c r="AK194" s="3"/>
      <c r="AL194" s="8"/>
      <c r="AW194" s="3"/>
      <c r="AY194" s="5"/>
    </row>
    <row r="195" spans="37:51" x14ac:dyDescent="0.2">
      <c r="AK195" s="3"/>
      <c r="AL195" s="8"/>
      <c r="AW195" s="3"/>
      <c r="AY195" s="5"/>
    </row>
    <row r="196" spans="37:51" x14ac:dyDescent="0.2">
      <c r="AK196" s="3"/>
      <c r="AL196" s="8"/>
      <c r="AW196" s="3"/>
      <c r="AY196" s="5"/>
    </row>
    <row r="197" spans="37:51" x14ac:dyDescent="0.2">
      <c r="AK197" s="3"/>
      <c r="AL197" s="8"/>
      <c r="AW197" s="3"/>
      <c r="AY197" s="5"/>
    </row>
    <row r="198" spans="37:51" x14ac:dyDescent="0.2">
      <c r="AK198" s="3"/>
      <c r="AL198" s="8"/>
      <c r="AW198" s="3"/>
      <c r="AY198" s="5"/>
    </row>
    <row r="199" spans="37:51" x14ac:dyDescent="0.2">
      <c r="AK199" s="3"/>
      <c r="AL199" s="8"/>
      <c r="AW199" s="3"/>
      <c r="AY199" s="5"/>
    </row>
    <row r="200" spans="37:51" x14ac:dyDescent="0.2">
      <c r="AK200" s="3"/>
      <c r="AL200" s="8"/>
      <c r="AW200" s="3"/>
      <c r="AY200" s="5"/>
    </row>
    <row r="201" spans="37:51" x14ac:dyDescent="0.2">
      <c r="AK201" s="3"/>
      <c r="AL201" s="8"/>
      <c r="AW201" s="3"/>
      <c r="AY201" s="5"/>
    </row>
    <row r="202" spans="37:51" x14ac:dyDescent="0.2">
      <c r="AK202" s="3"/>
      <c r="AL202" s="8"/>
      <c r="AW202" s="3"/>
      <c r="AY202" s="5"/>
    </row>
    <row r="203" spans="37:51" x14ac:dyDescent="0.2">
      <c r="AK203" s="3"/>
      <c r="AL203" s="8"/>
      <c r="AW203" s="3"/>
      <c r="AY203" s="5"/>
    </row>
    <row r="204" spans="37:51" x14ac:dyDescent="0.2">
      <c r="AK204" s="3"/>
      <c r="AL204" s="8"/>
      <c r="AW204" s="3"/>
      <c r="AY204" s="5"/>
    </row>
    <row r="205" spans="37:51" x14ac:dyDescent="0.2">
      <c r="AK205" s="3"/>
      <c r="AL205" s="8"/>
      <c r="AW205" s="3"/>
      <c r="AY205" s="5"/>
    </row>
    <row r="206" spans="37:51" x14ac:dyDescent="0.2">
      <c r="AK206" s="3"/>
      <c r="AL206" s="8"/>
      <c r="AW206" s="3"/>
      <c r="AY206" s="5"/>
    </row>
    <row r="207" spans="37:51" x14ac:dyDescent="0.2">
      <c r="AK207" s="3"/>
      <c r="AL207" s="8"/>
      <c r="AW207" s="3"/>
      <c r="AY207" s="5"/>
    </row>
    <row r="208" spans="37:51" x14ac:dyDescent="0.2">
      <c r="AK208" s="3"/>
      <c r="AL208" s="8"/>
      <c r="AW208" s="3"/>
      <c r="AY208" s="5"/>
    </row>
    <row r="209" spans="37:51" x14ac:dyDescent="0.2">
      <c r="AK209" s="3"/>
      <c r="AL209" s="8"/>
      <c r="AW209" s="3"/>
      <c r="AY209" s="5"/>
    </row>
    <row r="210" spans="37:51" x14ac:dyDescent="0.2">
      <c r="AK210" s="3"/>
      <c r="AL210" s="8"/>
      <c r="AW210" s="3"/>
      <c r="AY210" s="5"/>
    </row>
    <row r="211" spans="37:51" x14ac:dyDescent="0.2">
      <c r="AK211" s="3"/>
      <c r="AL211" s="8"/>
      <c r="AW211" s="3"/>
      <c r="AY211" s="5"/>
    </row>
    <row r="212" spans="37:51" x14ac:dyDescent="0.2">
      <c r="AK212" s="3"/>
      <c r="AL212" s="8"/>
      <c r="AW212" s="3"/>
      <c r="AY212" s="5"/>
    </row>
    <row r="213" spans="37:51" x14ac:dyDescent="0.2">
      <c r="AK213" s="3"/>
      <c r="AL213" s="8"/>
      <c r="AW213" s="3"/>
      <c r="AY213" s="5"/>
    </row>
    <row r="214" spans="37:51" x14ac:dyDescent="0.2">
      <c r="AK214" s="3"/>
      <c r="AL214" s="8"/>
      <c r="AW214" s="3"/>
      <c r="AY214" s="5"/>
    </row>
    <row r="215" spans="37:51" x14ac:dyDescent="0.2">
      <c r="AK215" s="3"/>
      <c r="AL215" s="8"/>
      <c r="AW215" s="3"/>
      <c r="AY215" s="5"/>
    </row>
    <row r="216" spans="37:51" x14ac:dyDescent="0.2">
      <c r="AK216" s="3"/>
      <c r="AL216" s="8"/>
      <c r="AW216" s="3"/>
      <c r="AY216" s="5"/>
    </row>
    <row r="217" spans="37:51" x14ac:dyDescent="0.2">
      <c r="AK217" s="3"/>
      <c r="AL217" s="8"/>
      <c r="AW217" s="3"/>
      <c r="AY217" s="5"/>
    </row>
    <row r="218" spans="37:51" x14ac:dyDescent="0.2">
      <c r="AK218" s="3"/>
      <c r="AL218" s="8"/>
      <c r="AW218" s="3"/>
      <c r="AY218" s="5"/>
    </row>
    <row r="219" spans="37:51" x14ac:dyDescent="0.2">
      <c r="AK219" s="3"/>
      <c r="AL219" s="8"/>
      <c r="AW219" s="3"/>
      <c r="AY219" s="5"/>
    </row>
    <row r="220" spans="37:51" x14ac:dyDescent="0.2">
      <c r="AK220" s="3"/>
      <c r="AL220" s="8"/>
      <c r="AW220" s="3"/>
      <c r="AY220" s="5"/>
    </row>
    <row r="221" spans="37:51" x14ac:dyDescent="0.2">
      <c r="AK221" s="3"/>
      <c r="AL221" s="8"/>
      <c r="AW221" s="3"/>
      <c r="AY221" s="5"/>
    </row>
    <row r="222" spans="37:51" x14ac:dyDescent="0.2">
      <c r="AK222" s="3"/>
      <c r="AL222" s="8"/>
      <c r="AW222" s="3"/>
      <c r="AY222" s="5"/>
    </row>
    <row r="223" spans="37:51" x14ac:dyDescent="0.2">
      <c r="AK223" s="3"/>
      <c r="AL223" s="8"/>
      <c r="AW223" s="3"/>
      <c r="AY223" s="5"/>
    </row>
    <row r="224" spans="37:51" x14ac:dyDescent="0.2">
      <c r="AK224" s="3"/>
      <c r="AL224" s="8"/>
      <c r="AW224" s="3"/>
      <c r="AY224" s="5"/>
    </row>
    <row r="225" spans="37:51" x14ac:dyDescent="0.2">
      <c r="AK225" s="3"/>
      <c r="AL225" s="8"/>
      <c r="AW225" s="3"/>
      <c r="AY225" s="5"/>
    </row>
    <row r="226" spans="37:51" x14ac:dyDescent="0.2">
      <c r="AK226" s="3"/>
      <c r="AL226" s="8"/>
      <c r="AW226" s="3"/>
      <c r="AY226" s="5"/>
    </row>
    <row r="227" spans="37:51" x14ac:dyDescent="0.2">
      <c r="AK227" s="3"/>
      <c r="AL227" s="8"/>
      <c r="AW227" s="3"/>
      <c r="AY227" s="5"/>
    </row>
    <row r="228" spans="37:51" x14ac:dyDescent="0.2">
      <c r="AK228" s="3"/>
      <c r="AL228" s="8"/>
      <c r="AW228" s="3"/>
      <c r="AY228" s="5"/>
    </row>
    <row r="229" spans="37:51" x14ac:dyDescent="0.2">
      <c r="AK229" s="3"/>
      <c r="AL229" s="8"/>
      <c r="AW229" s="3"/>
      <c r="AY229" s="5"/>
    </row>
    <row r="230" spans="37:51" x14ac:dyDescent="0.2">
      <c r="AK230" s="3"/>
      <c r="AL230" s="8"/>
      <c r="AW230" s="3"/>
      <c r="AY230" s="5"/>
    </row>
    <row r="231" spans="37:51" x14ac:dyDescent="0.2">
      <c r="AK231" s="3"/>
      <c r="AL231" s="8"/>
      <c r="AW231" s="3"/>
      <c r="AY231" s="5"/>
    </row>
    <row r="232" spans="37:51" x14ac:dyDescent="0.2">
      <c r="AK232" s="3"/>
      <c r="AL232" s="8"/>
      <c r="AW232" s="3"/>
      <c r="AY232" s="5"/>
    </row>
    <row r="233" spans="37:51" x14ac:dyDescent="0.2">
      <c r="AK233" s="3"/>
      <c r="AL233" s="8"/>
      <c r="AW233" s="3"/>
      <c r="AY233" s="5"/>
    </row>
    <row r="234" spans="37:51" x14ac:dyDescent="0.2">
      <c r="AK234" s="3"/>
      <c r="AL234" s="8"/>
      <c r="AW234" s="3"/>
      <c r="AY234" s="5"/>
    </row>
    <row r="235" spans="37:51" x14ac:dyDescent="0.2">
      <c r="AK235" s="3"/>
      <c r="AL235" s="8"/>
      <c r="AW235" s="3"/>
      <c r="AY235" s="5"/>
    </row>
    <row r="236" spans="37:51" x14ac:dyDescent="0.2">
      <c r="AK236" s="3"/>
      <c r="AL236" s="8"/>
      <c r="AW236" s="3"/>
      <c r="AY236" s="5"/>
    </row>
    <row r="237" spans="37:51" x14ac:dyDescent="0.2">
      <c r="AK237" s="3"/>
      <c r="AL237" s="8"/>
      <c r="AW237" s="3"/>
      <c r="AY237" s="5"/>
    </row>
    <row r="238" spans="37:51" x14ac:dyDescent="0.2">
      <c r="AK238" s="3"/>
      <c r="AL238" s="8"/>
      <c r="AW238" s="3"/>
      <c r="AY238" s="5"/>
    </row>
    <row r="239" spans="37:51" x14ac:dyDescent="0.2">
      <c r="AK239" s="3"/>
      <c r="AL239" s="8"/>
      <c r="AW239" s="3"/>
      <c r="AY239" s="5"/>
    </row>
    <row r="240" spans="37:51" x14ac:dyDescent="0.2">
      <c r="AK240" s="3"/>
      <c r="AL240" s="8"/>
      <c r="AW240" s="3"/>
      <c r="AY240" s="5"/>
    </row>
    <row r="241" spans="37:51" x14ac:dyDescent="0.2">
      <c r="AK241" s="3"/>
      <c r="AL241" s="8"/>
      <c r="AW241" s="3"/>
      <c r="AY241" s="5"/>
    </row>
    <row r="242" spans="37:51" x14ac:dyDescent="0.2">
      <c r="AK242" s="3"/>
      <c r="AL242" s="8"/>
      <c r="AW242" s="3"/>
      <c r="AY242" s="5"/>
    </row>
    <row r="243" spans="37:51" x14ac:dyDescent="0.2">
      <c r="AK243" s="3"/>
      <c r="AL243" s="8"/>
      <c r="AW243" s="3"/>
      <c r="AY243" s="5"/>
    </row>
    <row r="244" spans="37:51" x14ac:dyDescent="0.2">
      <c r="AK244" s="3"/>
      <c r="AL244" s="8"/>
      <c r="AW244" s="3"/>
      <c r="AY244" s="5"/>
    </row>
    <row r="245" spans="37:51" x14ac:dyDescent="0.2">
      <c r="AK245" s="3"/>
      <c r="AL245" s="8"/>
      <c r="AW245" s="3"/>
      <c r="AY245" s="5"/>
    </row>
    <row r="246" spans="37:51" x14ac:dyDescent="0.2">
      <c r="AK246" s="3"/>
      <c r="AL246" s="8"/>
      <c r="AW246" s="3"/>
      <c r="AY246" s="5"/>
    </row>
    <row r="247" spans="37:51" x14ac:dyDescent="0.2">
      <c r="AK247" s="3"/>
      <c r="AL247" s="8"/>
      <c r="AW247" s="3"/>
      <c r="AY247" s="5"/>
    </row>
    <row r="248" spans="37:51" x14ac:dyDescent="0.2">
      <c r="AK248" s="3"/>
      <c r="AL248" s="8"/>
      <c r="AW248" s="3"/>
      <c r="AY248" s="5"/>
    </row>
    <row r="249" spans="37:51" x14ac:dyDescent="0.2">
      <c r="AK249" s="3"/>
      <c r="AL249" s="8"/>
      <c r="AW249" s="3"/>
      <c r="AY249" s="5"/>
    </row>
    <row r="250" spans="37:51" x14ac:dyDescent="0.2">
      <c r="AK250" s="3"/>
      <c r="AL250" s="8"/>
      <c r="AW250" s="3"/>
      <c r="AY250" s="5"/>
    </row>
    <row r="251" spans="37:51" x14ac:dyDescent="0.2">
      <c r="AK251" s="3"/>
      <c r="AL251" s="8"/>
      <c r="AW251" s="3"/>
      <c r="AY251" s="5"/>
    </row>
    <row r="252" spans="37:51" x14ac:dyDescent="0.2">
      <c r="AK252" s="3"/>
      <c r="AL252" s="8"/>
      <c r="AW252" s="3"/>
      <c r="AY252" s="5"/>
    </row>
    <row r="253" spans="37:51" x14ac:dyDescent="0.2">
      <c r="AY253" s="5"/>
    </row>
    <row r="254" spans="37:51" x14ac:dyDescent="0.2">
      <c r="AY254" s="5"/>
    </row>
    <row r="255" spans="37:51" x14ac:dyDescent="0.2">
      <c r="AY255" s="5"/>
    </row>
    <row r="256" spans="37:51" x14ac:dyDescent="0.2">
      <c r="AY256" s="5"/>
    </row>
  </sheetData>
  <sortState xmlns:xlrd2="http://schemas.microsoft.com/office/spreadsheetml/2017/richdata2" columnSort="1" ref="AA56:AJ66">
    <sortCondition descending="1" ref="AA56:AJ56"/>
  </sortState>
  <phoneticPr fontId="2" type="noConversion"/>
  <pageMargins left="0.7" right="0.7" top="0.75" bottom="0.75" header="0.3" footer="0.3"/>
  <pageSetup paperSize="9" orientation="portrait" r:id="rId1"/>
  <ignoredErrors>
    <ignoredError sqref="AM3:AV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Eigencalcs</vt:lpstr>
      <vt:lpstr>PCA</vt:lpstr>
    </vt:vector>
  </TitlesOfParts>
  <Company>University of Toronto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White</dc:creator>
  <cp:lastModifiedBy>WONG, Michael Kwok Yee</cp:lastModifiedBy>
  <cp:lastPrinted>2011-10-04T19:23:43Z</cp:lastPrinted>
  <dcterms:created xsi:type="dcterms:W3CDTF">1999-10-06T23:05:41Z</dcterms:created>
  <dcterms:modified xsi:type="dcterms:W3CDTF">2021-11-22T17:16:07Z</dcterms:modified>
</cp:coreProperties>
</file>